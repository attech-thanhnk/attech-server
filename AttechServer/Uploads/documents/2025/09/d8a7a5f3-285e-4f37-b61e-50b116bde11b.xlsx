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My Drive\01. BKT\05. CĐS\4. Kế hoạch CĐS 25-26\Hồ sơ\"/>
    </mc:Choice>
  </mc:AlternateContent>
  <xr:revisionPtr revIDLastSave="0" documentId="13_ncr:1_{A2A590F6-23DE-4A21-86A4-9AF4630D477C}" xr6:coauthVersionLast="47" xr6:coauthVersionMax="47" xr10:uidLastSave="{00000000-0000-0000-0000-000000000000}"/>
  <bookViews>
    <workbookView xWindow="-120" yWindow="-120" windowWidth="29040" windowHeight="15720" tabRatio="565" xr2:uid="{33627468-70CE-410C-8D18-CEC0C3ED855E}"/>
  </bookViews>
  <sheets>
    <sheet name="Nhiệm vụ" sheetId="3" r:id="rId1"/>
    <sheet name="Dự án" sheetId="7" state="hidden" r:id="rId2"/>
    <sheet name="KHCN" sheetId="6" state="hidden" r:id="rId3"/>
    <sheet name="Sheet2" sheetId="2" state="hidden" r:id="rId4"/>
  </sheets>
  <definedNames>
    <definedName name="_xlnm._FilterDatabase" localSheetId="1" hidden="1">'Dự án'!$B$3:$M$48</definedName>
    <definedName name="_xlnm._FilterDatabase" localSheetId="0" hidden="1">'Nhiệm vụ'!$B$3:$H$51</definedName>
    <definedName name="_Hlk199491253" localSheetId="0">'Nhiệm vụ'!#REF!</definedName>
    <definedName name="_Hlk199491299" localSheetId="0">'Nhiệm vụ'!#REF!</definedName>
    <definedName name="_Hlk199491312" localSheetId="0">'Nhiệm vụ'!#REF!</definedName>
    <definedName name="_Hlk199491339" localSheetId="0">'Nhiệm vụ'!#REF!</definedName>
    <definedName name="_Hlk199491344" localSheetId="0">'Nhiệm vụ'!#REF!</definedName>
    <definedName name="_Hlk199491352" localSheetId="0">'Nhiệm vụ'!#REF!</definedName>
    <definedName name="_Hlk199491384" localSheetId="0">'Nhiệm vụ'!#REF!</definedName>
    <definedName name="_Hlk199491389" localSheetId="0">'Nhiệm vụ'!#REF!</definedName>
    <definedName name="_Hlk199491396" localSheetId="0">'Nhiệm vụ'!#REF!</definedName>
    <definedName name="_Hlk199493110" localSheetId="0">'Nhiệm vụ'!$C$12</definedName>
    <definedName name="AIM">Sheet2!$C$2:$C$9</definedName>
    <definedName name="ANHK">Sheet2!$I$2:$I$9</definedName>
    <definedName name="ATM">Sheet2!$A$2:$A$9</definedName>
    <definedName name="ATTT">Sheet2!$I$2:$I$9</definedName>
    <definedName name="CIL_MIL">Sheet2!$F$2:$F$9</definedName>
    <definedName name="CNS">Sheet2!$B$2:$B$9</definedName>
    <definedName name="Không">Sheet2!$G$2:$G$9</definedName>
    <definedName name="MET">Sheet2!$D$2:$D$9</definedName>
    <definedName name="Nhân_lực_số">Sheet2!$J$2:$J$9</definedName>
    <definedName name="_xlnm.Print_Area" localSheetId="1">'Dự án'!$B$2:$N$48</definedName>
    <definedName name="_xlnm.Print_Area" localSheetId="0">'Nhiệm vụ'!$A$2:$I$51</definedName>
    <definedName name="Quản_trị">Sheet2!$H$2:$H$9</definedName>
    <definedName name="SAR">Sheet2!$E$2:$E$9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7" l="1"/>
  <c r="I48" i="7" s="1"/>
  <c r="V18" i="6" l="1"/>
  <c r="T18" i="6"/>
  <c r="S18" i="6"/>
  <c r="R18" i="6"/>
  <c r="Q18" i="6"/>
  <c r="N18" i="6"/>
  <c r="M18" i="6"/>
  <c r="L18" i="6"/>
  <c r="K18" i="6"/>
  <c r="J18" i="6"/>
  <c r="I18" i="6"/>
  <c r="H18" i="6"/>
  <c r="G18" i="6"/>
  <c r="P17" i="6"/>
  <c r="O17" i="6"/>
  <c r="P16" i="6"/>
  <c r="O16" i="6"/>
  <c r="O15" i="6"/>
  <c r="K15" i="6"/>
  <c r="O14" i="6"/>
  <c r="P14" i="6" s="1"/>
  <c r="O13" i="6"/>
  <c r="U12" i="6"/>
  <c r="U11" i="6"/>
  <c r="U10" i="6"/>
  <c r="U9" i="6"/>
  <c r="U8" i="6"/>
  <c r="U7" i="6"/>
  <c r="U6" i="6"/>
  <c r="U5" i="6"/>
  <c r="U4" i="6"/>
  <c r="U3" i="6"/>
  <c r="P15" i="6" l="1"/>
  <c r="Q15" i="6" s="1"/>
  <c r="O18" i="6"/>
  <c r="Q17" i="6"/>
  <c r="P13" i="6"/>
  <c r="P18" i="6" s="1"/>
  <c r="Q14" i="6"/>
  <c r="U14" i="6" s="1"/>
  <c r="R17" i="6"/>
  <c r="Q16" i="6"/>
  <c r="R16" i="6" s="1"/>
  <c r="S17" i="6"/>
  <c r="U17" i="6" l="1"/>
  <c r="U13" i="6"/>
  <c r="U18" i="6" s="1"/>
  <c r="U15" i="6"/>
  <c r="S16" i="6"/>
  <c r="U16" i="6" s="1"/>
</calcChain>
</file>

<file path=xl/sharedStrings.xml><?xml version="1.0" encoding="utf-8"?>
<sst xmlns="http://schemas.openxmlformats.org/spreadsheetml/2006/main" count="629" uniqueCount="330">
  <si>
    <t>TT</t>
  </si>
  <si>
    <t>TÊN DỰ ÁN</t>
  </si>
  <si>
    <t>QUY MÔ</t>
  </si>
  <si>
    <t>ĐỊA ĐIỂM ĐẦU TƯ</t>
  </si>
  <si>
    <t>ĐỀ XUẤT ĐIỀU CHỈNH THỜI GIAN THỰC HIỆN (theo tiến độ hiện tại)</t>
  </si>
  <si>
    <t xml:space="preserve">THỜI GIAN THỰC HIỆN </t>
  </si>
  <si>
    <t>NGUỒN VỐN</t>
  </si>
  <si>
    <t>I</t>
  </si>
  <si>
    <t>B</t>
  </si>
  <si>
    <t>Tổng công ty</t>
  </si>
  <si>
    <t>2025-2028</t>
  </si>
  <si>
    <t>Vốn của TCT</t>
  </si>
  <si>
    <t>C</t>
  </si>
  <si>
    <t>2024-2027</t>
  </si>
  <si>
    <t>2025-2027</t>
  </si>
  <si>
    <t>Thiết bị an ninh mạng IPS/IDS và firewall</t>
  </si>
  <si>
    <t>2025 - 2027</t>
  </si>
  <si>
    <t>Trung tâm KTHK</t>
  </si>
  <si>
    <t>2026-2027</t>
  </si>
  <si>
    <t>2026-2030</t>
  </si>
  <si>
    <t>II</t>
  </si>
  <si>
    <t>Trung tâm TBTTHK</t>
  </si>
  <si>
    <t xml:space="preserve">Xây dựng cơ sở dữ liệu lập bản đồ sân bay (Aerodrome Mapping Database - AMDB) </t>
  </si>
  <si>
    <t>Hệ thống cơ sở dữ liệu tập trung</t>
  </si>
  <si>
    <t>2027 - 2029</t>
  </si>
  <si>
    <t>Mở rộng, nâng cấp Hệ thống Quản lý tin tức hàng không (AIM)</t>
  </si>
  <si>
    <t>Quản lý luồng không lưu</t>
  </si>
  <si>
    <t>2027 - 2028</t>
  </si>
  <si>
    <t>III</t>
  </si>
  <si>
    <t>Khí tượng hàng không</t>
  </si>
  <si>
    <t>2026 - 2028</t>
  </si>
  <si>
    <t>2026 - 2027</t>
  </si>
  <si>
    <t>Nâng cấp hệ thống Ảnh mây vệ tinh Himawari</t>
  </si>
  <si>
    <t>2028 - 2030</t>
  </si>
  <si>
    <t>IV</t>
  </si>
  <si>
    <t>Dẫn đường</t>
  </si>
  <si>
    <t xml:space="preserve"> </t>
  </si>
  <si>
    <t>Sân bay Nội Bài, Tân Sơn Nhất, Đà Nẵng</t>
  </si>
  <si>
    <t>Giám sát</t>
  </si>
  <si>
    <t>Trạm radar PSR/SSR Phú Quốc</t>
  </si>
  <si>
    <t>Băng L hoặc băng S</t>
  </si>
  <si>
    <t>Đầu tư hệ thống A-SMGCS Phú Quốc</t>
  </si>
  <si>
    <t>Các cơ sở điều hành bay</t>
  </si>
  <si>
    <t xml:space="preserve">Thiết bị dò tìm hộp đen dưới nước </t>
  </si>
  <si>
    <t>2026 - 2030</t>
  </si>
  <si>
    <t>Quản lý tin tức hàng không (AIM)</t>
  </si>
  <si>
    <t>Quản lý không lưu (ATM)</t>
  </si>
  <si>
    <t>ATCC Hà Nội và Hồ Chí Minh</t>
  </si>
  <si>
    <t>TỔNG CỘNG</t>
  </si>
  <si>
    <t>Dịch vụ kiểm soát không lưu tại sân bay kỹ thuật số (DATS)</t>
  </si>
  <si>
    <t xml:space="preserve">Cải thiện hoạt động bay thông qua nâng cao quỹ đạo bay đường dài </t>
  </si>
  <si>
    <t>Cải thiện luồng không lưu thông qua sắp xếp thứ tự đường CHC</t>
  </si>
  <si>
    <t>Thông tin chuyến bay và luồng không lưu cho môi trường hợp tác (FF-ICE)</t>
  </si>
  <si>
    <t>Công tác an toàn và chất lượng</t>
  </si>
  <si>
    <t>Khai thác mặt đất</t>
  </si>
  <si>
    <t>Khai thác dựa trên quỹ đạo</t>
  </si>
  <si>
    <t>CNS</t>
  </si>
  <si>
    <t>ATM</t>
  </si>
  <si>
    <t>AIM</t>
  </si>
  <si>
    <t>MET</t>
  </si>
  <si>
    <t>SAR</t>
  </si>
  <si>
    <t>CIL-MIL</t>
  </si>
  <si>
    <t>Thông tin</t>
  </si>
  <si>
    <t>Không</t>
  </si>
  <si>
    <t>Quản trị</t>
  </si>
  <si>
    <t>Nhân lực số</t>
  </si>
  <si>
    <t>SWIM</t>
  </si>
  <si>
    <t>ANHK</t>
  </si>
  <si>
    <t>Hạ tầng + thu thập</t>
  </si>
  <si>
    <t>Dữ liệu số, phân tích</t>
  </si>
  <si>
    <t>Kết nối</t>
  </si>
  <si>
    <t>STT</t>
  </si>
  <si>
    <t>Các nội dung chính cần thực hiện</t>
  </si>
  <si>
    <t>Ghi chú</t>
  </si>
  <si>
    <t>Kiến nghị Bộ Xây dựng ban hành hoặc hướng dẫn các tiêu chuẩn, quy chuẩn kỹ thuật, định mức kinh tế – kỹ thuật và quy trình nghiệp vụ chuyên ngành về bảo đảm hoạt động bay, phù hợp với thực tiễn và thông lệ quốc tế.</t>
  </si>
  <si>
    <t>Các cơ quan, đơn vị</t>
  </si>
  <si>
    <t>Chủ động đề xuất và tham gia xây dựng cơ chế phối hợp liên ngành một cách chặt chẽ, hiệu quả và dựa trên nền tảng số để chia sẻ thông tin, dữ liệu, tối ưu hóa việc sử dụng không phận, quản lý các hoạt động bay mới và ứng dụng công nghệ tiên tiến.</t>
  </si>
  <si>
    <t>Đề xuất các cơ chế, chính sách thử nghiệm cho các công nghệ mới, mô hình kinh doanh mới dựa trên nền tảng số trong lĩnh vực BĐHĐB, thử nghiệm và đánh giá hiệu quả trước khi triển khai trên diện rộng.</t>
  </si>
  <si>
    <t>Tổ Hỗ trợ sửa đổi Luật HKDDVN, Hội đồng KHCN TCT</t>
  </si>
  <si>
    <t>Đề xuất cơ chế đặc thù về tài chính, đầu tư cho các dự án chuyển đổi số, hiện đại hóa công nghệ trong ngành hàng không.</t>
  </si>
  <si>
    <t>Nghiên cứu và đề xuất đưa vào Luật Hàng không dân dụng và các văn bản hướng dẫn thi hành các quy định cụ thể về hệ thống quản lý không lưu thế hệ mới, bao gồm việc tích hợp, quản lý hoạt động của tàu bay không người lái, phương tiện bay cá nhân trong vùng trời được kiểm soát, đảm bảo an toàn và hiệu quả khai thác.</t>
  </si>
  <si>
    <t>Kiến nghị Bộ Quốc phòng: Xây dựng khung pháp lý toàn diện và linh hoạt để quản lý hoạt động của tàu bay không người lái (UAV/Drone) và phương tiện bay khác; quy định rõ ràng về trách nhiệm của các tổ chức, cá nhân khai thác UAV và phương tiện bay khác trong việc tuân thủ các quy tắc bay và phối hợp với VATM để đảm bảo an toàn cho hoạt động bay có người lái. Giao thẩm quyền và trách nhiệm cụ thể cho VATM nói riêng và hàng không dân dụng nói chung trong việc thiết lập các khu vực hoạt động riêng, hành lang bay đặc biệt hoặc các biện pháp phân tách không gian và thời gian hoạt động giữa các loại phương tiện bay khác nhau.</t>
  </si>
  <si>
    <t>Xây dựng và trình Bộ Xây dựng phê duyệt Đề án cơ cấu lại Tổng công ty giai đoạn đến hết năm 2030, trong đó ưu tiên nghiên cứu và áp dụng mô hình tổ chức linh hoạt, giảm bớt các tầng lớp trung gian, tăng cường phân cấp, phân quyền gắn với trách nhiệm giải trình, phù hợp với xu thế số hóa và các chuẩn mực quốc tế.</t>
  </si>
  <si>
    <t>Ban TCCB</t>
  </si>
  <si>
    <t>Rà soát, điều chỉnh chức năng, nhiệm vụ của các cơ quan, đơn vị trong toàn Tổng công ty để đảm bảo sự phù hợp với các quy trình vận hành số hóa, tránh chồng chéo hoặc bỏ sót nhiệm vụ trong môi trường làm việc mới.</t>
  </si>
  <si>
    <t>Tổ chức quản lý tập trung, chuyên nghiệp và hiệu quả các hệ thống hạ tầng kỹ thuật thông tin, công nghệ thông tin, bao gồm cả hạ tầng mạng, máy chủ, lưu trữ và các nền tảng ứng dụng dùng chung</t>
  </si>
  <si>
    <t xml:space="preserve">Ban ATCL, KL, KT, </t>
  </si>
  <si>
    <t>Trung tâm QLLKL</t>
  </si>
  <si>
    <t>Ban KT</t>
  </si>
  <si>
    <t>Quản lý không lưu</t>
  </si>
  <si>
    <t>Thông tin, dẫn đường, giám sát</t>
  </si>
  <si>
    <t>Các đơn vị</t>
  </si>
  <si>
    <t>Quản lý tin tức hàng không</t>
  </si>
  <si>
    <t>Tìm kiếm cứu nạn hàng không</t>
  </si>
  <si>
    <t>Ban ANHK</t>
  </si>
  <si>
    <t>Đổi mới cơ chế thu hút, tuyển dụng và đãi ngộ nhân tài số</t>
  </si>
  <si>
    <t>Truyền thông nội bộ sâu rộng và hiệu quả về chuyển đổi số</t>
  </si>
  <si>
    <t>Đào tạo, tập huấn và hướng dẫn sử dụng thành thạo các công cụ số và an toàn thông tin</t>
  </si>
  <si>
    <t>Khuyến khích văn hóa đổi mới sáng tạo và ứng dụng công nghệ</t>
  </si>
  <si>
    <t>Ban ATCL</t>
  </si>
  <si>
    <t xml:space="preserve"> Thiết lập cơ chế để VATM tham gia trực tiếp việc thiết lập các khu vực cấm, hạn chế, nguy hiểm và các khu vực hoạt động quân sự có tác động đến hoạt động bay hàng không dân dụng (HKDD). Nghiên cứu thiết lập một cơ quan dân sự - quân sự cấp quốc gia để điều phối hoạt động chiến lược, tối ưu thời gian và địa điểm huấn luyện quân sự để không ảnh hưởng đến hoạt động HKDD, đặc biệt tại các Cảng hàng không quốc tế có mật độ hoạt động bay cao.</t>
  </si>
  <si>
    <t>Kiến nghị Bộ Xây dựng: Xem xét, hỗ trợ xây dựng cơ chế, chính sách đặc thù nhằm bảo đảm nguồn lực đầu tư trong giai đoạn 2026-2030, đáp ứng yêu cầu phát triển hạ tầng kỹ thuật, hiện đại hóa hệ thống quản lý bay và nâng cao năng lực cung cấp dịch vụ.</t>
  </si>
  <si>
    <t>Kiến nghị Bộ Xây dựng: Nghiên cứu và đưa vào luật các quy định về hệ thống quản lý không lưu thế hệ mới (ATM NextGen) có khả năng tích hợp và quản lý hiệu quả các loại phương tiện bay khác nhau.</t>
  </si>
  <si>
    <t>Kiến nghị Chính phủ, Bộ Xây dựng và các Bộ ngành liên quan ban hành hoặc hướng dẫn cụ thể các tiêu chuẩn kỹ thuật, quy chuẩn quốc gia về hạ tầng số, nền tảng số, chia sẻ dữ liệu số, tiêu chuẩn kỹ thuật và dịch vụ số trong ngành hàng không, đảm bảo tính tương thích, đồng bộ và phù hợp với thông lệ quốc tế (ICAO, CANSO) và đảm bảo an toàn an ninh mạng</t>
  </si>
  <si>
    <t>Xây dựng danh mục những bài toán lớn, mang tính đột phá trong lĩnh vực hàng không.</t>
  </si>
  <si>
    <t>Kiến nghị Bộ Tài chính: Xem xét cơ chế tài chính phù hợp như giữ lại phần phí điều hành bay phù hợp để đảm bảo VATM có đủ nguồn lực để duy trì và phát triển hệ thống bảo đảm hoạt động bay, bao gồm cả việc thu phí dịch vụ và các nguồn thu khác. Hỗ trợ VATM trong tiếp cận các nguồn vốn vay ưu đãi, vốn ODA hoặc các chương trình viện trợ kỹ thuật từ các tổ chức quốc tế.</t>
  </si>
  <si>
    <t>Định kỳ rà soát các khu vực cấm, hạn chế, nguy hiểm và các khu vực hoạt động quân sự có tác động đến hoạt động bay HKDD; đề xuất điều chỉnh các khu vực này để giảm thiểu ảnh hưởng đến hoạt động bay HKDD.</t>
  </si>
  <si>
    <t>Nghiên cứu, chủ động đề xuất các cơ chế, chính sách thử nghiệm (sandbox)  cho các công nghệ mới.</t>
  </si>
  <si>
    <t xml:space="preserve">Xây dựng và trình Bộ Xây dựng phê duyệt Đề án cơ cấu lại Tổng công ty giai đoạn đến hết năm 2030 trên cơ sở nghiên cứu mô hình để cơ cấu lại các dịch vụ cốt lõi phù hợp với chuẩn mực quốc tế chung theo quy định của ICAO, pháp luật Việt Nam và mô hình phổ quát của các nhà cung cấp dịch vụ bảo đảm hoạt động bay trên thế giới; tiến hành xây dựng Đề án phát triển các đơn vị giai đoạn đến hết năm 2030 để tổ chức triển khai thực hiện. </t>
  </si>
  <si>
    <t>Thực hiện chủ trương tinh gọn và sắp xếp tổ chức bộ máy trên tinh thần chung theo Nghị quyết số 18-NQ/TW của Ban Chấp hành Trung ương Đảng khóa XII</t>
  </si>
  <si>
    <t>Triển khai giai đoạn hai Phương án kiện toàn Trung tâm Khí tượng hàng không nhằm nâng cao chất lượng dịch vụ bền vững, đảm bảo tính trực tiếp, tập trung, thống nhất và kịp thời.</t>
  </si>
  <si>
    <t>Tiếp tục tập trung kiện toàn mô hình tổ chức Trung tâm Phối hợp tìm kiếm cứu nạn hàng không giai đoạn 2 theo hướng phát triển nhanh và bền vững, nâng cao chất lượng cung cấp dịch vụ tìm kiếm cứu nạn hàng không theo các tiêu chí nhanh chóng, kịp thời, chuyên nghiệp và hiệu quả.</t>
  </si>
  <si>
    <t>Thiết lập Trung tâm Điều hành mạng và An toàn thông tin (NOC/SOC) có khả năng giám sát, phát hiện sớm, cảnh báo và ứng phó kịp thời với các sự cố, tấn công mạng.</t>
  </si>
  <si>
    <t>Thực hiện giám sát, bảo trì, bảo dưỡng sửa chữa tập trung cho các hệ thống thiết bị kỹ thuật CNS thông qua triển khai các trung tâm điều hành giám sát tình trạng kỹ thuật từ xa, đổi mới công nghệ khai thác theo hướng tự động hóa, trực giám sát tập trung từ xa, trạm không người trực.</t>
  </si>
  <si>
    <t xml:space="preserve">Đẩy mạnh ứng dụng công nghệ thông tin trong công tác đào tạo, huấn luyện. </t>
  </si>
  <si>
    <t>Rà soát, hoàn thiện các chính sách nguồn nhân lực; đổi mới tư duy trong phát triển nguồn nhân lực theo hướng ứng dụng công nghệ hiện đại, thay thế hoặc giảm lao động tại một số vị trí.</t>
  </si>
  <si>
    <t xml:space="preserve">Đổi mới công tác tuyển dụng lao động nhằm thu hút được lao động tham gia ứng tuyển; đảm bảo đánh giá khách quan, công bằng, lựa chọn được lao động có trình độ chuyên môn phù hợp, năng lực công tác tốt. </t>
  </si>
  <si>
    <t>Chú trọng công tác xã hội hóa trong đào tạo nguồn nhân lực có trình độ, nghiệp vụ, kỹ năng để tuyển dụng, bố trí làm việc trong dây chuyền cung cấp dịch vụ Bảo đảm hoạt động bay.</t>
  </si>
  <si>
    <t>Hợp tác và phát huy thế mạnh của các cơ sở đào tạo trong khuôn khổ dự án hỗ trợ của các tổ chức quốc tế, chủ động tìm kiếm các nguồn tài trợ học bổng.</t>
  </si>
  <si>
    <t xml:space="preserve">Tăng cường công tác thông tin, truyền thông nhằm nâng cao hình ảnh về các hoạt động của Tổng công ty, về cơ chế, chính sách, chủ trương, định hướng của Đảng ủy, Ban Thường vụ Đảng ủy, Lãnh đạo Tổng công ty trong xây dựng và phát triển Tổng công ty và các chế độ, chính sách liên quan đến người lao động trong Tổng công ty. </t>
  </si>
  <si>
    <t>Phổ biến đầy đủ nội dung kế hoạch (bao gồm các mục tiêu chuyển đổi số) tới toàn thể cán bộ, người lao động.</t>
  </si>
  <si>
    <t>Nâng cao và duy trì văn hóa an ninh hàng không và an ninh mạng hàng không mạnh mẽ và hiệu quả.</t>
  </si>
  <si>
    <t>Tích hợp văn hóa an ninh và nhận thức về mối đe dọa vào các chương trình đào tạo cán bộ, nhân viên của Tổng công ty.</t>
  </si>
  <si>
    <t>Nghiên cứu, thiết kế các chương trình, khóa học về phân tích và quản lý dữ liệu cho cán bộ, chuyên viên Tổng công ty.</t>
  </si>
  <si>
    <t>Khuyến khích phát huy sáng kiến, cải tiến kỹ thuật và gắn kết kết quả triển khai kế hoạch với công tác thi đua, khen thưởng.</t>
  </si>
  <si>
    <t>Có</t>
  </si>
  <si>
    <t>NHÓM DỰ ÁN (THEO LUẬT CŨ)</t>
  </si>
  <si>
    <t>NHÓM DỰ ÁN  (Theo Luật ĐT công 2024)</t>
  </si>
  <si>
    <t xml:space="preserve">TỔNG MỨC ĐẦU TƯ </t>
  </si>
  <si>
    <t>THỜI GIAN CBDA</t>
  </si>
  <si>
    <t>THỜI GIAN THỰC HIỆN (ND theo QĐ tạm giao KH 2025)</t>
  </si>
  <si>
    <t>LŨY KẾ THỰC HIỆN ĐẾN HẾT NĂM 2025
(ND theo QĐ tạm giao KH 2025)</t>
  </si>
  <si>
    <t>LŨY KẾ THỰC HIỆN ĐẾN HẾT NĂM 2025
(cập nhật theo tiến độ hiện tại)</t>
  </si>
  <si>
    <t>KẾ HOẠCH GIẢI NGÂN GIAI ĐOẠN 2026-2030</t>
  </si>
  <si>
    <t>GIẢI NGÂN SAU 2030</t>
  </si>
  <si>
    <t>TỔNG GIẢI NGÂN GIAI ĐOẠN 2026-2030</t>
  </si>
  <si>
    <t>THỜI ĐIỂM NGHIỆM THU HOÀN THÀNH ĐƯA VÀO SỬ DỤNG</t>
  </si>
  <si>
    <t xml:space="preserve">GHI CHÚ 
</t>
  </si>
  <si>
    <t>TIẾN ĐỘ</t>
  </si>
  <si>
    <t xml:space="preserve">- Giải thích phương pháp xác định (cách tính) giá trị lũy kế đến hết năm 2025 và giá trị giải ngân các năm giai đoạn 2026-2030.
- Đánh giá sự phù hợp so với các thông tin (TMĐT, dự toán, giá hợp đồng, tiến độ thực hiện) </t>
  </si>
  <si>
    <t>Phân công thực hiện</t>
  </si>
  <si>
    <t>Nghiên cứu, triển khai D-TWR tại sân bay Cà Mau</t>
  </si>
  <si>
    <t>Vân Đồn</t>
  </si>
  <si>
    <t>Quỹ KHCN</t>
  </si>
  <si>
    <t>QIV/2028</t>
  </si>
  <si>
    <t>Nghiên cứu, áp dụng ADS-B Space-based</t>
  </si>
  <si>
    <t>QIV/2027</t>
  </si>
  <si>
    <t>Nghiên cứu bằng vốn KHCN và áp dụng bằng vốn chi thường xuyên</t>
  </si>
  <si>
    <t>Nghiên cứu, áp dụng SATCOM và VHF Datalink</t>
  </si>
  <si>
    <t>Tân Sơn Nhất</t>
  </si>
  <si>
    <t>Nghiên cứu, áp dụng AeroMacs/5G tại Vân Đồn</t>
  </si>
  <si>
    <t>Vân Đồn, Nội Bài, Tân Sơn Nhất</t>
  </si>
  <si>
    <t>QIV/2030</t>
  </si>
  <si>
    <t>Nghiên cứu, thử nghiệm hệ thống thông tin hàng không kỹ thuật số băng tần L (LDACS) tại sân bay quốc tế</t>
  </si>
  <si>
    <t>Cảng HKQT Long Thành</t>
  </si>
  <si>
    <t>Nghiên cứu, triển khai Hệ thống thu số liệu AIREP tự động</t>
  </si>
  <si>
    <t>Nghiên cứu ứng dụng AI phục vụ các lĩnh vực</t>
  </si>
  <si>
    <t>Khí tượng hàng không (MET)</t>
  </si>
  <si>
    <t>Nghiên cứu, triển khai Quản lý thông tin diện rộng (SWIM) của Tổng công ty QLBVN</t>
  </si>
  <si>
    <t>Chuyển tiếp (giai đoạn 2021-2025) từ nguồn vốn đầu tư sang nguồn vốn KHCN</t>
  </si>
  <si>
    <t>Nghiên cứu triển khai hệ thống radar giám sát sơ cấp công nghệ 3D đường dài tại Quy Nhơn</t>
  </si>
  <si>
    <t>Quy Nhơn</t>
  </si>
  <si>
    <t>Nghiên cứu, triển khai Hệ thống Quản lý luồng không lưu</t>
  </si>
  <si>
    <t>QI/2025- IV/2025</t>
  </si>
  <si>
    <t>QI/2026-QIV/2027</t>
  </si>
  <si>
    <t>Nghiên cứu, triển khai hệ thống GBAS.</t>
  </si>
  <si>
    <t>Nghiên cứu, áp dụng băng phi diễn điện tử tại các cơ sở điều hành bay</t>
  </si>
  <si>
    <t>Thực hiện tiếp nhận, xử lý và phân tích dữ liệu, đánh giá năng lực dịch vụ BĐHĐB tập trung</t>
  </si>
  <si>
    <t>Tên nhiệm vụ</t>
  </si>
  <si>
    <t>Chuẩn hóa toàn bộ các quy trình và thống nhất áp dụng từ Tổng công ty đến các đơn vị;</t>
  </si>
  <si>
    <t>Hoàn thiện quy trình, quy định, hướng dẫn theo từng chuyên ngành. Áp dụng thống nhất trong Tổng công ty</t>
  </si>
  <si>
    <t>- Triển khai ứng dụng công nghệ thông tin trong công tác quản trị điều hành doanh nghiệp, trong đó bao gồm các nội dung:</t>
  </si>
  <si>
    <t>+ Triển khai một hệ thống thông tin xuyên suốt và tích hợp về các hoạt động tài chính, sản xuất kinh doanh, hỗ trợ đắc lực cho việc ra quyết định của các cấp quản lý</t>
  </si>
  <si>
    <t>+ Thực hiện quy hoạch và kết nối hạ tầng mạng – truyền thông diện rộng (WAN) trong toàn Tổng công ty. Áp dụng các biện pháp bảo mật (như công nghệ mạng riêng ảo – VPN) để đảm bảo an toàn thông tin khi sửdụng chung hạ tầng mạng Internet công cộng</t>
  </si>
  <si>
    <t>+ Triển khai các phần mềm ứng dụng cơ bản về trao đổi thông tin, quản lý văn bản và điều hành tác nghiệp để bước đầu đưa các phần mềm ứng dụng tập trung</t>
  </si>
  <si>
    <t>+ Nhanh chóng ứng dụng, triển khai phần mềm ứng dụng lõi phục vụ công tác Quản trị tổng thể doanh nghiệp (ERP) để giải quyết nhu cầu bức thiết hiện nay về quản trị các hoạt động nội bộ chủ chốt của Tổng công ty (Quản lý Tài chính – Kế toán, Quản lý Tài sản, Quản lý Kế hoạch, đầu tư, dự án);</t>
  </si>
  <si>
    <t>4.1.1</t>
  </si>
  <si>
    <t>4.1.2</t>
  </si>
  <si>
    <t>4.1.3</t>
  </si>
  <si>
    <t>Ứng dụng CNTT trong công tác điều hành sản xuất</t>
  </si>
  <si>
    <t>4.1.4</t>
  </si>
  <si>
    <t>Mạng thông tin ATN mặt đất</t>
  </si>
  <si>
    <t>Cơ quan, đơn vị phối hợp</t>
  </si>
  <si>
    <r>
      <t>CHỦ ĐỘNG ĐỀ XUẤT, THÁO GỠ CÁC RÀO CẢN, ĐIỂM NGHẼN VỀ THỂ CHẾ, MÔI TRƯỜNG PHÁP LÝ, TẠO THUẬN TIỆN CHUYỂN ĐỔI SỐ</t>
    </r>
    <r>
      <rPr>
        <sz val="14"/>
        <color theme="1"/>
        <rFont val="Times New Roman"/>
        <family val="1"/>
      </rPr>
      <t> </t>
    </r>
  </si>
  <si>
    <r>
      <t>MÔ HÌNH TỔ CHỨC SỐ</t>
    </r>
    <r>
      <rPr>
        <sz val="14"/>
        <color theme="1"/>
        <rFont val="Times New Roman"/>
        <family val="1"/>
      </rPr>
      <t> </t>
    </r>
  </si>
  <si>
    <t>An toàn thông tin, an ninh mạng</t>
  </si>
  <si>
    <t>1.  Phát triển Safety Management System (SMS) số hóa, tích hợp báo cáo sự cố.</t>
  </si>
  <si>
    <t>2.  Thiết lập cơ sở dữ liệu năng lực ATCO/ATSEP.</t>
  </si>
  <si>
    <t>3.  Áp dụng e-QMS để quản lý chất lượng và bảo trì CNS/ATM.</t>
  </si>
  <si>
    <t>4.  Số hóa quy trình kiểm tra, đánh giá, và hiệu chuẩn thiết bị.</t>
  </si>
  <si>
    <t>Nghiên cứu áp dụng các công cụ hiện đại hỗ trợ công tác quản lý an toàn trên thế giới có sự phù hợp với điều kiện khai thác thực tế tại Việt Nam</t>
  </si>
  <si>
    <t>Thực hiện số hoá, điện tử hoá các công việc, quy trình về quản lý an toàn theo định hướng của HKVN và lộ trình chung của Tổng công ty</t>
  </si>
  <si>
    <r>
      <t>CHUYỂN ĐỔI NHẬN THỨC, NÂNG CAO KỸ NĂNG SỐ</t>
    </r>
    <r>
      <rPr>
        <sz val="14"/>
        <color theme="1"/>
        <rFont val="Times New Roman"/>
        <family val="1"/>
      </rPr>
      <t> </t>
    </r>
  </si>
  <si>
    <t>Huấn luyện đào tạo, phát triển kỹ năng số</t>
  </si>
  <si>
    <t>Lãnh đạo và cán bộ quản lý chiến lược</t>
  </si>
  <si>
    <t>Nhóm Chuyên gia kỹ thuật và Nghiên cứu phát triển (IT, Công nghệ)</t>
  </si>
  <si>
    <t>Cán bộ quản lý cấp trung</t>
  </si>
  <si>
    <t>Nhân viên vận hành và nghiệp vụ</t>
  </si>
  <si>
    <t>Giáo viên, Huấn luyện viên nội bộ của Tổng Công ty</t>
  </si>
  <si>
    <t>Tọa đàm, workshop chuyên sâu, tham quan thực tế, tư vấn chiến lược</t>
  </si>
  <si>
    <t>Đào tạo trực tiếp kết hợp với trực tuyến, thực hành dự án nhóm, hướng dẫn</t>
  </si>
  <si>
    <t>Khóa học chứng chỉ chuyên ngành, thực hành, tham gia các dự án phát triển sản phẩm nội bộ</t>
  </si>
  <si>
    <t>Khóa học nâng cao năng lực sư phạm số, hội thảo phát triển nội dung, tham gia các hội nghị chuyên ngành, thực hành đứng lớp</t>
  </si>
  <si>
    <t>Hiện đại hóa công tác đào tạo</t>
  </si>
  <si>
    <t>TT ĐTHL-NV QLB</t>
  </si>
  <si>
    <t>Ban TCCB, các cơ quan, đơn vị</t>
  </si>
  <si>
    <t>Cơ quan chủ trì</t>
  </si>
  <si>
    <t>Tên dự án</t>
  </si>
  <si>
    <t>Quy mô</t>
  </si>
  <si>
    <t>Địa điểm đầu tư</t>
  </si>
  <si>
    <t>Nguồn vốn</t>
  </si>
  <si>
    <t>A-SMGCS Level 2+ bao gồm SMR</t>
  </si>
  <si>
    <t>Phú Quốc</t>
  </si>
  <si>
    <t>Trung tâm kiểm soát không lưu ATCC Hà Nội</t>
  </si>
  <si>
    <t>Hà Nội</t>
  </si>
  <si>
    <t>2026 - 2031</t>
  </si>
  <si>
    <t>Long Thành</t>
  </si>
  <si>
    <t xml:space="preserve"> Điều hành toàn bộ các phân khu ACC khu vực phía Bắc với 08 - 10 phân khu ACC tương lai. Kiểm soát tiếp cận gồm không gian hạ tầng sẵn sàng bố trí vị trí điều hành tiếp cận vùng. Có thể bố trí sẵn các không gian D-TWR dành cho các sân bay hàng không chung, sân bay hàng không dân dụng có tần suất hoạt động thấp trong tương lai.</t>
  </si>
  <si>
    <t>Trung tâm KHCN-ĐMST-ĐT</t>
  </si>
  <si>
    <t>Hệ thống ứng dụng AI phục vụ các lĩnh vực</t>
  </si>
  <si>
    <t xml:space="preserve">Đầu tư thay thế các trạm VSAT khu vực miền Bắc. </t>
  </si>
  <si>
    <t>Các sân bay khu vực MB</t>
  </si>
  <si>
    <t>1. Chuyển đổi từ AIS sang AIM theo lộ trình ICAO.
2. Chuẩn hóa dữ liệu với AIXM, FIXM, WXXM, tích hợp SWIM.
3. Thiết lập geospatial database cho phân tích 4D trajectory.
4. Cung cấp dữ liệu số hóa thời gian thực cho ATCO và tổ lái.
5. Hệ thống thiết kế PTB và mô phỏng, đánh giá</t>
  </si>
  <si>
    <t xml:space="preserve">Mở rộng số lượng license sử dụng đầu cuối Hệ thống phần mềm thiết kế phương thức bay (FPDAM) </t>
  </si>
  <si>
    <t>Phát triển liên dịch vụ, đa dịch vụ (TBO, FF-ICE…)</t>
  </si>
  <si>
    <t>1. Xây dựng nền tảng tích hợp dữ liệu MET số hóa, kết nối từ trạm quan trắc đến hệ thống điều hành bay.
2. Ứng dụng AI/ML để phân tích và dự báo thời tiết thời gian thực.
3. Thiết lập mô hình số khí tượng (Numerical Weather Model), tích hợp vào ATFM/ATM.
4. Phát triển MET Graphical Interface cho ATCO, FMP, và tổ lái, tích hợp dữ liệu từ vệ tinh, radar, và trạm mặt đất.</t>
  </si>
  <si>
    <t>Hệ thống quan trắc thời tiết tự động (AWOS) cho các sân bay</t>
  </si>
  <si>
    <t>08 sân bay: Cát Bi, Phù Cát, Chu Lai, PleiKu, Buôn Ma Thuột, Rạch Giá, Phú Bài, Thọ Xuân</t>
  </si>
  <si>
    <t>1.  Xây dựng hệ thống quản lý nhiệm vụ SAR với nền tảng số, công nghệ tích hợp để khai thác và chia sẻ dữ liệu với các dịch vụ và các tiêu chuẩn dữ liệu của ICAO trong tương lai: Bản đồ GIS; Tra cứu dữ liệu lịch sử SAR, phân tích hiệu quả, dự báo, cảnh báo sớm, theo dõi tàu bay, phù hợp với Hệ thống GADASS (Global Aeronautical Distress and Safety System) của ICAO.
2.  Ứng dụng AI để phân tích dữ liệu radar, ELT, và MET.
3.  Tích hợp dữ liệu SAR với SWIM để chia sẻ thông tin.</t>
  </si>
  <si>
    <t>Thiết bị bay không người lái chuyên dùng, tải trọng lớn; Thiết bị bay không người lái chuyên dụng với hệ thống camera dùng cảm biến nhiệt, IR, radar quang có thể hoạt động và phát hiện vật thể sống trong điều kiện khắc nghiệt, ban đêm</t>
  </si>
  <si>
    <t>Trung tâm TKCN (Trung tâm HĐ TKCN miền Bắc+ Trung tâm HĐ TKCN miền Nam)</t>
  </si>
  <si>
    <t xml:space="preserve"> Hệ thống Robot dưới nước (ROV): Các hệ thống thiết bị (AUVs)  (USVs) </t>
  </si>
  <si>
    <t>Trung tâm TKCN Trung tâm HĐ TKCN miền Bắc+ Trung tâm HĐ TKCN miền Nam)</t>
  </si>
  <si>
    <t>QUẢN LÝ CHẤT LƯỢNG, AN TOÀN VÀ NĂNG LỰC KHAI THÁC</t>
  </si>
  <si>
    <t>4.1.5</t>
  </si>
  <si>
    <t>Bổ sung dự án RSC</t>
  </si>
  <si>
    <t>Đẩy mạnh ứng dụng công nghệ thông tin trong công tác đào tạo, huấn luyện.</t>
  </si>
  <si>
    <t>Đa dạng hóa các hình thức đào tạo, huấn luyện.  Tăng cường thực hiện đào tạo, huấn luyện theo hình thức trực tuyến.</t>
  </si>
  <si>
    <t>Xây dựng phần mềm chuyên dụng ứng dụng trong công tác quản trị nguồn nhân lực có tích hợp đồng bộ các chức năng quản lý đào tạo, huấn luyện.</t>
  </si>
  <si>
    <r>
      <t>HẠ TẦNG SỐ, DỮ LIỆU, ỨNG DỤNG LĨNH VỰC QUẢN TRỊ ĐIỀU HÀNH</t>
    </r>
    <r>
      <rPr>
        <sz val="14"/>
        <rFont val="Times New Roman"/>
        <family val="1"/>
      </rPr>
      <t> </t>
    </r>
  </si>
  <si>
    <r>
      <t>HẠ TẦNG SỐ, DỮ LIỆU, ỨNG DỤNG LĨNH VỰC CUNG CẤP DỊCH VỤ BĐHĐB</t>
    </r>
    <r>
      <rPr>
        <sz val="14"/>
        <rFont val="Times New Roman"/>
        <family val="1"/>
      </rPr>
      <t> </t>
    </r>
  </si>
  <si>
    <r>
      <t xml:space="preserve">Quản lý không lưu (ATM)
</t>
    </r>
    <r>
      <rPr>
        <sz val="14"/>
        <rFont val="Times New Roman"/>
        <family val="1"/>
      </rPr>
      <t xml:space="preserve">1.  Số hóa toàn bộ quy trình điều hành bay từ lập kế hoạch đến hậu khai thác.
2.  Tích hợp dữ liệu radar, ADS-B, MLAT, FPL, AMAN, DMAN trên nền tảng duy nhất.
3.  Phát triển chức năng hỗ trợ quyết định chiến thuật (Conflict Detection, Trajectory Prediction).
4.  Tự động hóa luồng điều hành bay: advisory tools, voice recognition, radar tagging AI.
</t>
    </r>
    <r>
      <rPr>
        <b/>
        <sz val="14"/>
        <rFont val="Times New Roman"/>
        <family val="1"/>
      </rPr>
      <t>Quản lý luồng không lưu (ATFM) và FF-ICE:</t>
    </r>
    <r>
      <rPr>
        <sz val="14"/>
        <rFont val="Times New Roman"/>
        <family val="1"/>
      </rPr>
      <t xml:space="preserve">
1.  Áp dụng mô hình ATFM chiến thuật-chiến lược, sử dụng dữ liệu thời gian thực và dự báo.
2.  Thiết lập Flow Management Platform tích hợp Big Data, phân tích tắc nghẽn, phân phối slot thông minh.
3.  Triển khai Demand-Capacity Balancing tự động, điều chỉnh theo giờ/ngày bằng AI.
4.  Liên kết dữ liệu với FMP khu vực (Thái Lan, Singapore) theo mô hình CDM và A-CDM.
</t>
    </r>
    <r>
      <rPr>
        <b/>
        <sz val="14"/>
        <rFont val="Times New Roman"/>
        <family val="1"/>
      </rPr>
      <t>Digital Tower (Tháp điều hành số):</t>
    </r>
    <r>
      <rPr>
        <sz val="14"/>
        <rFont val="Times New Roman"/>
        <family val="1"/>
      </rPr>
      <t xml:space="preserve">
1.  Phát triển Remote Tower Center sử dụng camera độ phân giải cao và AI phân tích hình ảnh.
2.  Áp dụng công nghệ truyền video IP, dữ liệu radar, và mô phỏng ánh sáng-thời tiết.
3.  Tích hợp với mô hình ATC ảo trong đào tạo và dự phòng khẩn nguy.
4.  Hỗ trợ đa sân bay, ưu tiên sân bay cấp 3-4, vùng xa, ít lưu lượng.
</t>
    </r>
    <r>
      <rPr>
        <b/>
        <sz val="14"/>
        <rFont val="Times New Roman"/>
        <family val="1"/>
      </rPr>
      <t>Dữ liệu thời gian thực (Real-Time Operational Data Integration)</t>
    </r>
    <r>
      <rPr>
        <sz val="14"/>
        <rFont val="Times New Roman"/>
        <family val="1"/>
      </rPr>
      <t xml:space="preserve">
1.  Tích hợp dữ liệu từ radar, MET, sân bay, ATFM, AIM, và SWIM.
2.  Thiết lập Data Fusion Engine để tổng hợp dữ liệu thành tình huống vận hành tổng thể.
3.  Hỗ trợ ra quyết định nhanh, linh hoạt cho ATCO và trung tâm điều hành.
4.  Chia sẻ dữ liệu thời gian thực với FIR lân cận và ANSP khu vực.
</t>
    </r>
    <r>
      <rPr>
        <b/>
        <sz val="14"/>
        <rFont val="Times New Roman"/>
        <family val="1"/>
      </rPr>
      <t>Quản lý không phận bền vững (Sustainable Airspace Management)</t>
    </r>
    <r>
      <rPr>
        <sz val="14"/>
        <rFont val="Times New Roman"/>
        <family val="1"/>
      </rPr>
      <t xml:space="preserve">
1.  Tối ưu hóa đường bay bằng phương thức PBN và TBO.
2.  Giảm phát thải thông qua quản lý luồng bay và tối ưu hóa quỹ đạo.
3.  Tích hợp dữ liệu MET và AIM để hỗ trợ bay xanh.
4.  Hợp tác khu vực để phát triển không phận bền vững.
</t>
    </r>
    <r>
      <rPr>
        <b/>
        <sz val="14"/>
        <rFont val="Times New Roman"/>
        <family val="1"/>
      </rPr>
      <t>Hiệp đồng dân sự - quân sự</t>
    </r>
    <r>
      <rPr>
        <sz val="14"/>
        <rFont val="Times New Roman"/>
        <family val="1"/>
      </rPr>
      <t xml:space="preserve">
Thiết lập cơ chế để VATM tham gia trực tiếp việc thiết lập các khu vực cấm, hạn chế, nguy hiểm và các khu vực hoạt động quân sự có tác động đến hoạt động bay HKDD.
</t>
    </r>
    <r>
      <rPr>
        <b/>
        <sz val="14"/>
        <rFont val="Times New Roman"/>
        <family val="1"/>
      </rPr>
      <t>Mô phỏng ảo (Virtual Simulation)</t>
    </r>
    <r>
      <rPr>
        <sz val="14"/>
        <rFont val="Times New Roman"/>
        <family val="1"/>
      </rPr>
      <t xml:space="preserve">
1.  Xây dựng hệ sinh thái mô phỏng ATC toàn diện: TWR, APP, ACC, ATFM, CDM, Emergency.
2.  Mô phỏng tình huống dựa trên dữ liệu thực tế lịch sử (Scenario Replay with AI Enhancements).
3.  Kết nối với SWIM và FF-ICE để thử nghiệm kế hoạch bay thời gian thực.
4.  Hỗ trợ thiết kế không phận và kiểm thử chiến lược điều hành.
</t>
    </r>
    <r>
      <rPr>
        <b/>
        <sz val="14"/>
        <rFont val="Times New Roman"/>
        <family val="1"/>
      </rPr>
      <t>Hệ thống quản lý thông tin diện rộng (SWIM)</t>
    </r>
    <r>
      <rPr>
        <sz val="14"/>
        <rFont val="Times New Roman"/>
        <family val="1"/>
      </rPr>
      <t xml:space="preserve">
1.  Thiết lập SWIM Node quốc gia để tích hợp dữ liệu ANS.
2.  Chuẩn hóa dữ liệu với AIXM, FIXM, IWXXM, và chia sẻ qua SWIM.
3.  Tích hợp SWIM với FF-ICE, TBO, và các hệ thống nội bộ.
4.  Đảm bảo bảo mật dữ liệu SWIM bằng Blockchain và SOC.</t>
    </r>
  </si>
  <si>
    <t>1.  Chuyển đổi hạ tầng truyền thông sang IP-based, thay thế VHF analog.
2.  Triển khai công nghệ định vị và dẫn đường hiện đại (RNAV/RNP, GNSS).
3.  Nâng cấp giám sát với ADS-B mặt đất/vệ tinh và A-SMGCS.
4.  Số hóa quản lý tài sản CNS bằng IoT và cảm biến đo xa.</t>
  </si>
  <si>
    <r>
      <rPr>
        <b/>
        <sz val="14"/>
        <rFont val="Times New Roman"/>
        <family val="1"/>
      </rPr>
      <t>NOC</t>
    </r>
    <r>
      <rPr>
        <sz val="14"/>
        <rFont val="Times New Roman"/>
        <family val="1"/>
      </rPr>
      <t xml:space="preserve">
1.  Thiết lập National NOC giám sát liên thông toàn mạng ANS (FPL, radar, ATFM, MET, CNS, AIM).
2.  Xây dựng dashboard phân tích và cảnh báo thời gian thực.
3.  Kết nối FMP, ACC, APP, TWR, MET, AMHS trong kiến trúc điều hành tập trung.
4.  Tích hợp dữ liệu từ sân bay, FIR lân cận, và cơ quan quân sự.
</t>
    </r>
    <r>
      <rPr>
        <b/>
        <sz val="14"/>
        <rFont val="Times New Roman"/>
        <family val="1"/>
      </rPr>
      <t>SOC</t>
    </r>
    <r>
      <rPr>
        <sz val="14"/>
        <rFont val="Times New Roman"/>
        <family val="1"/>
      </rPr>
      <t xml:space="preserve">
1.  Thiết lập SOC chuyên biệt cho ANS, bảo vệ dữ liệu điều hành bay và hệ thống CNS/ATM.
2.  Ứng dụng AI để phát hiện tấn công mạng có chủ đích (APT).
3.  Tích hợp SOC với NOC và Data Center trong kiến trúc điều hành tổng thể.
4. Tuân thủ tiêu chuẩn quốc tế (NIST, ICAO AVSEC/CYBER, EUROCONTROL EATM-CERT).</t>
    </r>
  </si>
  <si>
    <t>Hướng dẫn sử dụng phần mềm nghiệp vụ mới, Quy trình làm việc số hóa, An toàn thông tin cơ bản, Tương tác và khai thác hiệu quả với công cụ AI</t>
  </si>
  <si>
    <t>Theo Kế hoạch hoạt động KH &amp; CN</t>
  </si>
  <si>
    <t>Thực hiện theo Chiến lược phát triển Tổng công ty QLB Việt Nam đến năm 2030 và tầm nhìn đến 2045</t>
  </si>
  <si>
    <t>Đầu tư Hệ thống Quản lý luồng không lưu</t>
  </si>
  <si>
    <t xml:space="preserve">Tổng công ty </t>
  </si>
  <si>
    <t>Vốn của TCT / Quỹ KHCN</t>
  </si>
  <si>
    <t>1.1</t>
  </si>
  <si>
    <t>1.2</t>
  </si>
  <si>
    <t>2.1</t>
  </si>
  <si>
    <t>2.2</t>
  </si>
  <si>
    <t>2.3</t>
  </si>
  <si>
    <t>2.4</t>
  </si>
  <si>
    <t>2.5</t>
  </si>
  <si>
    <t>2.6</t>
  </si>
  <si>
    <t>2025 - 2028</t>
  </si>
  <si>
    <t>Hệ thống mạng lưới giám sát giông, sét</t>
  </si>
  <si>
    <t>Đầu tư trang WEB để trao đổi mô hình dữ liệu và Briefing tư vấn thời tiết</t>
  </si>
  <si>
    <t>Đầu tư các thiết bị bay UAV TKCN</t>
  </si>
  <si>
    <t>Trung tâm điều hành an toàn thông tin</t>
  </si>
  <si>
    <t>Ứng dụng CNTT cho công tác điều hành sản xuất</t>
  </si>
  <si>
    <t>1.3</t>
  </si>
  <si>
    <t>1.4</t>
  </si>
  <si>
    <t>1.5</t>
  </si>
  <si>
    <t>3.1</t>
  </si>
  <si>
    <t>3.2</t>
  </si>
  <si>
    <t>3.3</t>
  </si>
  <si>
    <t>3.4</t>
  </si>
  <si>
    <t>4.1</t>
  </si>
  <si>
    <t>4.2</t>
  </si>
  <si>
    <t>4.3</t>
  </si>
  <si>
    <t>4.4</t>
  </si>
  <si>
    <t>4.5</t>
  </si>
  <si>
    <t>4.6</t>
  </si>
  <si>
    <t>1.6</t>
  </si>
  <si>
    <t>Tiếp tục xây dựng và phát triển Trung tâm Đào tạo Huấn luyện nghiệp vụ Quản lý bay theo Đề án phát triển đơn vị; tăng cường nhân lực, cơ sở vật chất và nâng cấp hệ thống giảng dạy trực tuyến.</t>
  </si>
  <si>
    <t>Tổng mức đầu tư dự kiến (đơn vị 1.000đ)</t>
  </si>
  <si>
    <t>Cà Mau</t>
  </si>
  <si>
    <t>Phụ lục 1
DANH MỤC NHIỆM VỤ CHUYỂN ĐỔI SỐ TỔNG CÔNG TY QUẢN LÝ BAY VIỆT NAM GIAI ĐOẠN 2025 - 2026</t>
  </si>
  <si>
    <t>Cơ quan / Đơn vị chủ trì</t>
  </si>
  <si>
    <t>Cơ quan / Đơn vị phối hợp</t>
  </si>
  <si>
    <t>Ban QLDA CN QLB</t>
  </si>
  <si>
    <t>Các Ban: KL, KT, ATCL</t>
  </si>
  <si>
    <t>Công ty QLBMN</t>
  </si>
  <si>
    <t>Nhóm nghiên cứu, áp dụng SWIM của TCT</t>
  </si>
  <si>
    <t>Các công ty: QLBMB và QLBMN</t>
  </si>
  <si>
    <t>Công ty QLBMB</t>
  </si>
  <si>
    <t>Các Ban: KL, ATCL</t>
  </si>
  <si>
    <t>Các Ban: KL, ATCL; QLBMN</t>
  </si>
  <si>
    <t>Các Ban: KL, ATCL; QLBMB</t>
  </si>
  <si>
    <t>Các Ban: KL, ATCL; QLBKV</t>
  </si>
  <si>
    <t>Trung tâm TKCN</t>
  </si>
  <si>
    <t>Các Ban: KL, KT, ATCL, ANHK</t>
  </si>
  <si>
    <t>Các Ban: KT, ANHK</t>
  </si>
  <si>
    <t>Phụ lục 2
DANH MỤC DỰ ÁN CHUYỂN ĐỔI SỐ TỔNG CÔNG TY QUẢN LÝ BAY VIỆT NAM GIAI ĐOẠN 2025 - 2026</t>
  </si>
  <si>
    <t>Các văn bản đề xuất, phối hợp của TCT</t>
  </si>
  <si>
    <t>Quyết định của TCT</t>
  </si>
  <si>
    <t>Báo cáo đánh giá hiệu quả của TCT</t>
  </si>
  <si>
    <t>Báo cáo công tác thực hiện;</t>
  </si>
  <si>
    <t>Văn bản quy định của TCT</t>
  </si>
  <si>
    <t>Văn bản đề xuất của TCT</t>
  </si>
  <si>
    <t>Các Quyết định của TCT</t>
  </si>
  <si>
    <t>Văn bản, quyết định của TCT</t>
  </si>
  <si>
    <t>Tài liệu, khóa học cho đối tượng phù hợp</t>
  </si>
  <si>
    <t>Tổng thời gian thực hiện</t>
  </si>
  <si>
    <t>Kết quả giai đoạn 2025 - 2026</t>
  </si>
  <si>
    <t>Hoàn thành, phê duyệt thiết kế và BCKTKT</t>
  </si>
  <si>
    <t>Hoàn thành, phê duyệt thiết kế và BCKTKT. Triển khai hợp đồng thực hiện dự án</t>
  </si>
  <si>
    <t>Hoàn thành thiết kế, phê duyệt BCKTKT</t>
  </si>
  <si>
    <t>Hoàn thành nghiên cứu, khảo sát chuẩn bị cho bước thiết kế</t>
  </si>
  <si>
    <t>Hoàn thành dự án tài trợ (SWEDFUND)</t>
  </si>
  <si>
    <t>Hoàn thành dự án tài trợ (SWEDFUND);
Xây dựng hệ thống thử nghiệm, phối hợp thử nghiệm với ICAO</t>
  </si>
  <si>
    <t>Hoàn thành dự án</t>
  </si>
  <si>
    <t>Hoàn thành công tác LCNT gói thầu cung cấp thiết bị ATFM</t>
  </si>
  <si>
    <t>Hoàn thành nghiên cứu, thử nghiệm đánh giá chất lượng dịch vụ</t>
  </si>
  <si>
    <t>Hoàn thành nghiên cứu, đánh giá, đưa ra yêu cầu kỹ thuật cho hệ thống</t>
  </si>
  <si>
    <t>Hoàn thành nghiên cứu, đưa ra yêu cầu chức năng / kỹ thuật</t>
  </si>
  <si>
    <t>Ban KL</t>
  </si>
  <si>
    <t>Các Ban: KL, ATCL, ANHK, các Đơn vị</t>
  </si>
  <si>
    <t>Các Ban: ATCL, KT, ANHK;  TTTBTTHK</t>
  </si>
  <si>
    <t>VPTCT, Các Ban: KL, KT, ATCL, ANHK</t>
  </si>
  <si>
    <t>Ban TC</t>
  </si>
  <si>
    <t>Ban KH-ĐT</t>
  </si>
  <si>
    <t>VPTCT</t>
  </si>
  <si>
    <t>VPTCT; Các Ban: ATCL, KT, ANHK</t>
  </si>
  <si>
    <t>Tăng cường hợp tác chiến thuật bằng cách cơ quan quân sự tham gia nhiều hơn vào các hội nghị, cuộc họp của hàng không dân dụng và trực tiếp làm việc tại các cơ sở điều hành bay hàng không dân dụng.</t>
  </si>
  <si>
    <t>Chủ động thử nghiệm và đánh giá hiệu quả trước khi triển khai.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</si>
</sst>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 [$₫-42A]_-;\-* #,##0\ [$₫-42A]_-;_-* &quot;-&quot;??\ [$₫-42A]_-;_-@_-"/>
  </numFmts>
  <fonts count="22" x14ac:knownFonts="1">
    <font>
      <sz val="11"/>
      <color theme="1"/>
      <name val="Arial"/>
      <family val="2"/>
      <scheme val="minor"/>
    </font>
    <font>
      <sz val="11"/>
      <color theme="1"/>
      <name val="Arial"/>
      <family val="2"/>
      <scheme val="minor"/>
    </font>
    <font>
      <sz val="13"/>
      <name val="Times New Roman"/>
      <family val="1"/>
    </font>
    <font>
      <sz val="12"/>
      <name val="Times New Roman"/>
      <family val="1"/>
    </font>
    <font>
      <sz val="14"/>
      <name val="Times New Roman"/>
      <family val="1"/>
    </font>
    <font>
      <strike/>
      <sz val="13"/>
      <name val="Times New Roman"/>
      <family val="1"/>
    </font>
    <font>
      <i/>
      <sz val="13"/>
      <name val="Times New Roman"/>
      <family val="1"/>
    </font>
    <font>
      <sz val="13"/>
      <color rgb="FFFF0000"/>
      <name val="Times New Roman"/>
      <family val="1"/>
    </font>
    <font>
      <sz val="11"/>
      <color theme="1"/>
      <name val="Times New Roman"/>
      <family val="1"/>
      <scheme val="major"/>
    </font>
    <font>
      <b/>
      <sz val="11"/>
      <color theme="1"/>
      <name val="Times New Roman"/>
      <family val="1"/>
      <scheme val="major"/>
    </font>
    <font>
      <sz val="14"/>
      <color theme="1"/>
      <name val="Times New Roman"/>
      <family val="1"/>
    </font>
    <font>
      <b/>
      <sz val="14"/>
      <color theme="1"/>
      <name val="Times New Roman"/>
      <family val="1"/>
    </font>
    <font>
      <sz val="8"/>
      <color theme="1"/>
      <name val="Times New Roman"/>
      <family val="1"/>
    </font>
    <font>
      <sz val="8"/>
      <name val="Arial"/>
      <family val="2"/>
      <scheme val="minor"/>
    </font>
    <font>
      <b/>
      <sz val="13"/>
      <color theme="1"/>
      <name val="Times New Roman"/>
      <family val="1"/>
    </font>
    <font>
      <sz val="13"/>
      <color theme="1"/>
      <name val="Times New Roman"/>
      <family val="1"/>
    </font>
    <font>
      <sz val="11"/>
      <name val="Arial"/>
      <family val="2"/>
      <scheme val="minor"/>
    </font>
    <font>
      <strike/>
      <sz val="13"/>
      <color theme="1"/>
      <name val="Times New Roman"/>
      <family val="1"/>
    </font>
    <font>
      <sz val="13"/>
      <color rgb="FF000000"/>
      <name val="Times New Roman"/>
      <family val="1"/>
    </font>
    <font>
      <b/>
      <sz val="11"/>
      <color theme="1"/>
      <name val="Arial"/>
      <family val="2"/>
      <scheme val="minor"/>
    </font>
    <font>
      <b/>
      <sz val="14"/>
      <name val="Times New Roman"/>
      <family val="1"/>
    </font>
    <font>
      <sz val="11"/>
      <name val="Times New Roman"/>
      <family val="1"/>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bgColor indexed="64"/>
      </patternFill>
    </fill>
    <fill>
      <patternFill patternType="solid">
        <fgColor theme="0"/>
        <bgColor rgb="FF00000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s>
  <cellStyleXfs count="2">
    <xf numFmtId="0" fontId="0" fillId="0" borderId="0"/>
    <xf numFmtId="43" fontId="1" fillId="0" borderId="0" applyFont="0" applyFill="0" applyBorder="0" applyAlignment="0" applyProtection="0"/>
  </cellStyleXfs>
  <cellXfs count="276">
    <xf numFmtId="0" fontId="0" fillId="0" borderId="0" xfId="0"/>
    <xf numFmtId="164"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wrapText="1"/>
    </xf>
    <xf numFmtId="164" fontId="2" fillId="2" borderId="1" xfId="1" applyNumberFormat="1" applyFont="1" applyFill="1" applyBorder="1" applyAlignment="1">
      <alignment horizontal="right" vertical="center" wrapText="1"/>
    </xf>
    <xf numFmtId="164" fontId="2" fillId="2" borderId="1" xfId="1" applyNumberFormat="1" applyFont="1" applyFill="1" applyBorder="1" applyAlignment="1">
      <alignment vertical="center"/>
    </xf>
    <xf numFmtId="164" fontId="2" fillId="2" borderId="1" xfId="1" applyNumberFormat="1" applyFont="1" applyFill="1" applyBorder="1" applyAlignment="1">
      <alignment vertical="center" wrapText="1"/>
    </xf>
    <xf numFmtId="164" fontId="2" fillId="2" borderId="1" xfId="1" applyNumberFormat="1" applyFont="1" applyFill="1" applyBorder="1" applyAlignment="1">
      <alignment horizontal="justify" vertical="center" wrapText="1"/>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wrapText="1" shrinkToFit="1"/>
    </xf>
    <xf numFmtId="0" fontId="2" fillId="2" borderId="1" xfId="0" applyFont="1" applyFill="1" applyBorder="1" applyAlignment="1">
      <alignment horizontal="center" vertical="center" wrapText="1"/>
    </xf>
    <xf numFmtId="0" fontId="8" fillId="0" borderId="0" xfId="0" applyFont="1" applyAlignment="1">
      <alignment vertical="center" wrapText="1"/>
    </xf>
    <xf numFmtId="0" fontId="9" fillId="0" borderId="0" xfId="0" applyFont="1" applyAlignment="1">
      <alignment vertical="center" wrapText="1"/>
    </xf>
    <xf numFmtId="0" fontId="0" fillId="0" borderId="0" xfId="0" applyAlignment="1">
      <alignment vertical="center" wrapText="1"/>
    </xf>
    <xf numFmtId="0" fontId="8" fillId="3" borderId="0" xfId="0" applyFont="1" applyFill="1" applyAlignment="1">
      <alignment vertical="center" wrapText="1"/>
    </xf>
    <xf numFmtId="0" fontId="0" fillId="0" borderId="0" xfId="0" applyAlignment="1">
      <alignment vertical="center"/>
    </xf>
    <xf numFmtId="0" fontId="10" fillId="0" borderId="1" xfId="0" applyFont="1" applyBorder="1" applyAlignment="1">
      <alignment horizontal="left" vertical="center" wrapText="1"/>
    </xf>
    <xf numFmtId="49" fontId="14" fillId="2" borderId="1" xfId="1"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shrinkToFit="1"/>
    </xf>
    <xf numFmtId="0" fontId="6" fillId="0" borderId="1" xfId="0" applyFont="1" applyBorder="1" applyAlignment="1">
      <alignment vertical="center" wrapText="1" shrinkToFit="1"/>
    </xf>
    <xf numFmtId="0" fontId="2" fillId="0" borderId="1" xfId="0" applyFont="1" applyBorder="1" applyAlignment="1">
      <alignment vertical="center" wrapText="1"/>
    </xf>
    <xf numFmtId="0" fontId="2" fillId="0" borderId="1" xfId="0" applyFont="1" applyBorder="1" applyAlignment="1">
      <alignment horizontal="center" vertical="center"/>
    </xf>
    <xf numFmtId="164" fontId="2" fillId="0" borderId="1" xfId="1" applyNumberFormat="1" applyFont="1" applyBorder="1" applyAlignment="1">
      <alignment vertical="center"/>
    </xf>
    <xf numFmtId="49" fontId="2" fillId="0" borderId="1" xfId="0" applyNumberFormat="1" applyFont="1" applyBorder="1" applyAlignment="1">
      <alignment vertical="center"/>
    </xf>
    <xf numFmtId="0" fontId="2" fillId="0" borderId="1" xfId="0" applyFont="1" applyBorder="1" applyAlignment="1">
      <alignment vertical="center"/>
    </xf>
    <xf numFmtId="164" fontId="2" fillId="0" borderId="1" xfId="1" applyNumberFormat="1" applyFont="1" applyBorder="1" applyAlignment="1">
      <alignment horizontal="center" vertical="center" wrapText="1"/>
    </xf>
    <xf numFmtId="164" fontId="2" fillId="0" borderId="1" xfId="0" applyNumberFormat="1" applyFont="1" applyBorder="1" applyAlignment="1">
      <alignment vertical="center"/>
    </xf>
    <xf numFmtId="0" fontId="16" fillId="0" borderId="0" xfId="0" applyFont="1"/>
    <xf numFmtId="0" fontId="17" fillId="0" borderId="1" xfId="0" applyFont="1" applyBorder="1" applyAlignment="1">
      <alignment horizontal="center" vertical="center"/>
    </xf>
    <xf numFmtId="0" fontId="5" fillId="0" borderId="1" xfId="0" applyFont="1" applyBorder="1" applyAlignment="1">
      <alignment vertical="center" wrapText="1" shrinkToFit="1"/>
    </xf>
    <xf numFmtId="0" fontId="17" fillId="0" borderId="1" xfId="0" applyFont="1" applyBorder="1" applyAlignment="1">
      <alignment vertical="center"/>
    </xf>
    <xf numFmtId="164" fontId="17" fillId="0" borderId="1" xfId="1" applyNumberFormat="1" applyFont="1" applyBorder="1" applyAlignment="1">
      <alignment vertical="center"/>
    </xf>
    <xf numFmtId="49" fontId="17" fillId="0" borderId="1" xfId="0" applyNumberFormat="1" applyFont="1" applyBorder="1" applyAlignment="1">
      <alignment vertical="center"/>
    </xf>
    <xf numFmtId="164" fontId="17" fillId="0" borderId="1" xfId="1" applyNumberFormat="1" applyFont="1" applyBorder="1" applyAlignment="1">
      <alignment horizontal="center" vertical="center" wrapText="1"/>
    </xf>
    <xf numFmtId="164" fontId="17" fillId="0" borderId="1" xfId="0" applyNumberFormat="1" applyFont="1" applyBorder="1" applyAlignment="1">
      <alignment vertical="center"/>
    </xf>
    <xf numFmtId="0" fontId="17" fillId="0" borderId="1" xfId="0" applyFont="1" applyBorder="1" applyAlignment="1">
      <alignment vertical="center" wrapText="1"/>
    </xf>
    <xf numFmtId="0" fontId="15" fillId="0" borderId="1" xfId="0" applyFont="1" applyBorder="1" applyAlignment="1">
      <alignment vertical="center" wrapText="1" shrinkToFit="1"/>
    </xf>
    <xf numFmtId="0" fontId="15" fillId="0" borderId="1" xfId="0" applyFont="1" applyBorder="1" applyAlignment="1">
      <alignment horizontal="center" vertical="center"/>
    </xf>
    <xf numFmtId="164" fontId="3" fillId="0" borderId="1" xfId="1" applyNumberFormat="1" applyFont="1" applyBorder="1" applyAlignment="1">
      <alignment vertical="center" wrapText="1"/>
    </xf>
    <xf numFmtId="0" fontId="3" fillId="0" borderId="1" xfId="0" applyFont="1" applyBorder="1" applyAlignment="1">
      <alignment horizontal="center" vertical="center"/>
    </xf>
    <xf numFmtId="164" fontId="15" fillId="0" borderId="1" xfId="1" applyNumberFormat="1" applyFont="1" applyBorder="1" applyAlignment="1">
      <alignment horizontal="center" vertical="center" wrapText="1"/>
    </xf>
    <xf numFmtId="0" fontId="15" fillId="0" borderId="1" xfId="0" applyFont="1" applyBorder="1" applyAlignment="1">
      <alignment vertical="center"/>
    </xf>
    <xf numFmtId="164" fontId="15" fillId="0" borderId="1" xfId="1" applyNumberFormat="1" applyFont="1" applyBorder="1" applyAlignment="1">
      <alignment vertical="center"/>
    </xf>
    <xf numFmtId="164" fontId="15" fillId="0" borderId="1" xfId="0" applyNumberFormat="1" applyFont="1" applyBorder="1" applyAlignment="1">
      <alignment vertical="center"/>
    </xf>
    <xf numFmtId="0" fontId="15" fillId="0" borderId="0" xfId="0" applyFont="1" applyAlignment="1">
      <alignment horizontal="center" vertical="center"/>
    </xf>
    <xf numFmtId="0" fontId="7" fillId="0" borderId="1" xfId="0" applyFont="1" applyBorder="1" applyAlignment="1">
      <alignment vertical="center"/>
    </xf>
    <xf numFmtId="49" fontId="15" fillId="0" borderId="1" xfId="0" applyNumberFormat="1" applyFont="1" applyBorder="1" applyAlignment="1">
      <alignment vertical="center"/>
    </xf>
    <xf numFmtId="0" fontId="2"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5" fillId="0" borderId="0" xfId="0" applyFont="1" applyAlignment="1">
      <alignment horizontal="center" vertical="center"/>
    </xf>
    <xf numFmtId="164" fontId="5" fillId="0" borderId="1" xfId="1" applyNumberFormat="1" applyFont="1" applyBorder="1" applyAlignment="1">
      <alignment vertical="center"/>
    </xf>
    <xf numFmtId="49" fontId="5" fillId="0" borderId="1" xfId="0" applyNumberFormat="1" applyFont="1" applyBorder="1" applyAlignment="1">
      <alignment vertical="center"/>
    </xf>
    <xf numFmtId="0" fontId="5" fillId="0" borderId="1" xfId="0" applyFont="1" applyBorder="1" applyAlignment="1">
      <alignment vertical="center"/>
    </xf>
    <xf numFmtId="164" fontId="5" fillId="0" borderId="1" xfId="1" applyNumberFormat="1" applyFont="1" applyBorder="1" applyAlignment="1">
      <alignment horizontal="center" vertical="center" wrapText="1"/>
    </xf>
    <xf numFmtId="0" fontId="5" fillId="0" borderId="2" xfId="0" applyFont="1" applyBorder="1" applyAlignment="1">
      <alignment vertical="center" wrapText="1" shrinkToFit="1"/>
    </xf>
    <xf numFmtId="0" fontId="5" fillId="0" borderId="2" xfId="0" applyFont="1" applyBorder="1" applyAlignment="1">
      <alignment vertical="center" wrapText="1"/>
    </xf>
    <xf numFmtId="0" fontId="5" fillId="0" borderId="2" xfId="0" applyFont="1" applyBorder="1" applyAlignment="1">
      <alignment horizontal="center" vertical="center"/>
    </xf>
    <xf numFmtId="164" fontId="5" fillId="0" borderId="2" xfId="1" applyNumberFormat="1" applyFont="1" applyBorder="1" applyAlignment="1">
      <alignment vertical="center"/>
    </xf>
    <xf numFmtId="49" fontId="5" fillId="0" borderId="2" xfId="0" applyNumberFormat="1" applyFont="1" applyBorder="1" applyAlignment="1">
      <alignment vertical="center"/>
    </xf>
    <xf numFmtId="0" fontId="5" fillId="0" borderId="2" xfId="0" applyFont="1" applyBorder="1" applyAlignment="1">
      <alignment vertical="center"/>
    </xf>
    <xf numFmtId="49" fontId="2" fillId="2" borderId="1" xfId="1" applyNumberFormat="1" applyFont="1" applyFill="1" applyBorder="1" applyAlignment="1">
      <alignment vertical="center"/>
    </xf>
    <xf numFmtId="0" fontId="15" fillId="2" borderId="1" xfId="0" applyFont="1" applyFill="1" applyBorder="1" applyAlignment="1">
      <alignment horizontal="center" vertical="center"/>
    </xf>
    <xf numFmtId="0" fontId="2" fillId="2" borderId="0" xfId="0" applyFont="1" applyFill="1" applyAlignment="1">
      <alignment horizontal="center" vertical="center"/>
    </xf>
    <xf numFmtId="49" fontId="2" fillId="2" borderId="1" xfId="0" applyNumberFormat="1" applyFont="1" applyFill="1" applyBorder="1" applyAlignment="1">
      <alignment vertical="center"/>
    </xf>
    <xf numFmtId="164" fontId="2" fillId="2" borderId="1" xfId="0" applyNumberFormat="1" applyFont="1" applyFill="1" applyBorder="1" applyAlignment="1">
      <alignment vertical="center"/>
    </xf>
    <xf numFmtId="0" fontId="16" fillId="2" borderId="0" xfId="0" applyFont="1" applyFill="1"/>
    <xf numFmtId="49" fontId="2" fillId="2" borderId="1" xfId="1" applyNumberFormat="1" applyFont="1" applyFill="1" applyBorder="1" applyAlignment="1">
      <alignment horizontal="center" vertical="center" wrapText="1"/>
    </xf>
    <xf numFmtId="164" fontId="2" fillId="2" borderId="1" xfId="1" quotePrefix="1" applyNumberFormat="1" applyFont="1" applyFill="1" applyBorder="1" applyAlignment="1">
      <alignment vertical="center" wrapText="1"/>
    </xf>
    <xf numFmtId="164" fontId="5" fillId="2" borderId="1" xfId="1" applyNumberFormat="1" applyFont="1" applyFill="1" applyBorder="1" applyAlignment="1">
      <alignment horizontal="center" vertical="center"/>
    </xf>
    <xf numFmtId="164" fontId="17" fillId="2" borderId="1" xfId="1" applyNumberFormat="1" applyFont="1" applyFill="1" applyBorder="1" applyAlignment="1">
      <alignment vertical="center" wrapText="1"/>
    </xf>
    <xf numFmtId="164" fontId="17" fillId="2" borderId="1" xfId="1" applyNumberFormat="1" applyFont="1" applyFill="1" applyBorder="1" applyAlignment="1">
      <alignment vertical="center"/>
    </xf>
    <xf numFmtId="164" fontId="17" fillId="2" borderId="1" xfId="1" applyNumberFormat="1" applyFont="1" applyFill="1" applyBorder="1" applyAlignment="1">
      <alignment horizontal="center" vertical="center"/>
    </xf>
    <xf numFmtId="49" fontId="17" fillId="2" borderId="1" xfId="1" applyNumberFormat="1" applyFont="1" applyFill="1" applyBorder="1" applyAlignment="1">
      <alignment vertical="center"/>
    </xf>
    <xf numFmtId="164" fontId="17" fillId="2" borderId="1" xfId="1" applyNumberFormat="1" applyFont="1" applyFill="1" applyBorder="1" applyAlignment="1">
      <alignment horizontal="center" vertical="center" wrapText="1"/>
    </xf>
    <xf numFmtId="164" fontId="5" fillId="2" borderId="1" xfId="1" applyNumberFormat="1" applyFont="1" applyFill="1" applyBorder="1" applyAlignment="1">
      <alignment vertical="center"/>
    </xf>
    <xf numFmtId="164" fontId="5" fillId="2" borderId="1" xfId="0" applyNumberFormat="1" applyFont="1" applyFill="1" applyBorder="1" applyAlignment="1">
      <alignment vertical="center"/>
    </xf>
    <xf numFmtId="0" fontId="5" fillId="2" borderId="1" xfId="0" applyFont="1" applyFill="1" applyBorder="1" applyAlignment="1">
      <alignment vertical="center"/>
    </xf>
    <xf numFmtId="164" fontId="5" fillId="2" borderId="1" xfId="1" applyNumberFormat="1" applyFont="1" applyFill="1" applyBorder="1" applyAlignment="1">
      <alignment vertical="center" wrapText="1"/>
    </xf>
    <xf numFmtId="0" fontId="18" fillId="5" borderId="1" xfId="0" applyFont="1" applyFill="1" applyBorder="1" applyAlignment="1">
      <alignment vertical="center" wrapText="1" shrinkToFit="1"/>
    </xf>
    <xf numFmtId="0" fontId="18" fillId="2" borderId="5" xfId="0" applyFont="1" applyFill="1" applyBorder="1" applyAlignment="1">
      <alignment vertical="center" wrapText="1" shrinkToFit="1"/>
    </xf>
    <xf numFmtId="0" fontId="18" fillId="2" borderId="5" xfId="0" applyFont="1" applyFill="1" applyBorder="1" applyAlignment="1">
      <alignment horizontal="center" vertical="center" wrapText="1"/>
    </xf>
    <xf numFmtId="0" fontId="18" fillId="2" borderId="5" xfId="0" applyFont="1" applyFill="1" applyBorder="1" applyAlignment="1">
      <alignment horizontal="center" vertical="center"/>
    </xf>
    <xf numFmtId="164" fontId="18" fillId="2" borderId="5" xfId="0" applyNumberFormat="1" applyFont="1" applyFill="1" applyBorder="1" applyAlignment="1">
      <alignment vertical="center"/>
    </xf>
    <xf numFmtId="164" fontId="15" fillId="2" borderId="1" xfId="1" applyNumberFormat="1" applyFont="1" applyFill="1" applyBorder="1" applyAlignment="1">
      <alignment vertical="center" wrapText="1"/>
    </xf>
    <xf numFmtId="164" fontId="15" fillId="2" borderId="1" xfId="1" applyNumberFormat="1" applyFont="1" applyFill="1" applyBorder="1" applyAlignment="1">
      <alignment horizontal="center" vertical="center" wrapText="1"/>
    </xf>
    <xf numFmtId="164" fontId="15" fillId="2" borderId="1" xfId="1" applyNumberFormat="1" applyFont="1" applyFill="1" applyBorder="1" applyAlignment="1">
      <alignment vertical="center"/>
    </xf>
    <xf numFmtId="0" fontId="14" fillId="0" borderId="1" xfId="0" applyFont="1" applyBorder="1" applyAlignment="1">
      <alignment wrapText="1"/>
    </xf>
    <xf numFmtId="0" fontId="15" fillId="0" borderId="1" xfId="0" applyFont="1" applyBorder="1" applyAlignment="1">
      <alignment horizontal="center"/>
    </xf>
    <xf numFmtId="164" fontId="14" fillId="0" borderId="1" xfId="1" applyNumberFormat="1" applyFont="1" applyBorder="1"/>
    <xf numFmtId="0" fontId="15" fillId="0" borderId="1" xfId="0" applyFont="1" applyBorder="1"/>
    <xf numFmtId="0" fontId="2" fillId="4" borderId="1" xfId="0" applyFont="1" applyFill="1" applyBorder="1" applyAlignment="1">
      <alignment vertical="center" wrapText="1" shrinkToFit="1"/>
    </xf>
    <xf numFmtId="0" fontId="0" fillId="0" borderId="0" xfId="0" applyAlignment="1">
      <alignment horizontal="center"/>
    </xf>
    <xf numFmtId="0" fontId="10" fillId="0" borderId="1" xfId="0" applyFont="1" applyBorder="1" applyAlignment="1">
      <alignment horizontal="justify" vertical="center"/>
    </xf>
    <xf numFmtId="0" fontId="12" fillId="0" borderId="0" xfId="0" applyFont="1" applyAlignment="1">
      <alignment horizontal="center" vertical="center"/>
    </xf>
    <xf numFmtId="164" fontId="10" fillId="2" borderId="1" xfId="1" applyNumberFormat="1" applyFont="1" applyFill="1" applyBorder="1" applyAlignment="1" applyProtection="1">
      <alignment vertical="center" wrapText="1"/>
      <protection hidden="1"/>
    </xf>
    <xf numFmtId="0" fontId="0" fillId="0" borderId="0" xfId="0" applyAlignment="1">
      <alignment horizontal="left"/>
    </xf>
    <xf numFmtId="0" fontId="19" fillId="0" borderId="0" xfId="0" applyFont="1"/>
    <xf numFmtId="164" fontId="2" fillId="0" borderId="0" xfId="1" applyNumberFormat="1" applyFont="1" applyBorder="1" applyAlignment="1">
      <alignment horizontal="center" vertical="center" wrapText="1"/>
    </xf>
    <xf numFmtId="0" fontId="2" fillId="2" borderId="1" xfId="0" applyFont="1" applyFill="1" applyBorder="1" applyAlignment="1">
      <alignment vertical="center" wrapText="1"/>
    </xf>
    <xf numFmtId="164" fontId="2" fillId="0" borderId="1" xfId="1" applyNumberFormat="1" applyFont="1" applyFill="1" applyBorder="1" applyAlignment="1">
      <alignment horizontal="justify" vertical="center"/>
    </xf>
    <xf numFmtId="164" fontId="2" fillId="0" borderId="1" xfId="1" applyNumberFormat="1" applyFont="1" applyFill="1" applyBorder="1" applyAlignment="1">
      <alignment horizontal="center" vertical="center" wrapText="1"/>
    </xf>
    <xf numFmtId="0" fontId="3" fillId="2" borderId="1" xfId="0" applyFont="1" applyFill="1" applyBorder="1" applyAlignment="1">
      <alignment vertical="center" wrapText="1"/>
    </xf>
    <xf numFmtId="164" fontId="2" fillId="2" borderId="1" xfId="1" applyNumberFormat="1" applyFont="1" applyFill="1" applyBorder="1" applyAlignment="1">
      <alignment horizontal="left" vertical="center" wrapText="1"/>
    </xf>
    <xf numFmtId="0" fontId="15" fillId="2" borderId="0" xfId="0" applyFont="1" applyFill="1" applyAlignment="1">
      <alignment vertical="center"/>
    </xf>
    <xf numFmtId="0" fontId="2" fillId="0" borderId="0" xfId="0" applyFont="1" applyAlignment="1">
      <alignment vertical="center"/>
    </xf>
    <xf numFmtId="164" fontId="2" fillId="0" borderId="1" xfId="1" applyNumberFormat="1" applyFont="1" applyFill="1" applyBorder="1" applyAlignment="1">
      <alignment horizontal="right" vertical="center" wrapText="1"/>
    </xf>
    <xf numFmtId="164" fontId="0" fillId="0" borderId="0" xfId="1" applyNumberFormat="1" applyFont="1"/>
    <xf numFmtId="0" fontId="3" fillId="0" borderId="1" xfId="0" applyFont="1" applyBorder="1" applyAlignment="1">
      <alignment horizontal="center" vertical="center" wrapText="1"/>
    </xf>
    <xf numFmtId="0" fontId="0" fillId="0" borderId="0" xfId="0" applyAlignment="1">
      <alignment wrapText="1"/>
    </xf>
    <xf numFmtId="0" fontId="4" fillId="0" borderId="1" xfId="0" applyFont="1" applyBorder="1" applyAlignment="1">
      <alignment horizontal="left" vertical="center" wrapText="1"/>
    </xf>
    <xf numFmtId="0" fontId="4" fillId="0" borderId="1" xfId="0" quotePrefix="1" applyFont="1" applyBorder="1" applyAlignment="1">
      <alignment horizontal="left" vertical="center" wrapText="1"/>
    </xf>
    <xf numFmtId="0" fontId="2" fillId="5" borderId="1" xfId="0" applyFont="1" applyFill="1" applyBorder="1" applyAlignment="1">
      <alignment vertical="center" wrapText="1" shrinkToFit="1"/>
    </xf>
    <xf numFmtId="0" fontId="4" fillId="2" borderId="1" xfId="0" applyFont="1" applyFill="1" applyBorder="1" applyAlignment="1">
      <alignment horizontal="center" vertical="center" wrapText="1"/>
    </xf>
    <xf numFmtId="164" fontId="0" fillId="0" borderId="0" xfId="0" applyNumberFormat="1"/>
    <xf numFmtId="0" fontId="21" fillId="2" borderId="1" xfId="0" applyFont="1" applyFill="1" applyBorder="1" applyAlignment="1">
      <alignment vertical="center" wrapText="1" shrinkToFit="1"/>
    </xf>
    <xf numFmtId="164" fontId="4" fillId="0" borderId="0" xfId="1" applyNumberFormat="1" applyFont="1" applyBorder="1" applyAlignment="1">
      <alignment horizontal="center" vertical="center"/>
    </xf>
    <xf numFmtId="0" fontId="2" fillId="0" borderId="1" xfId="0" applyFont="1" applyBorder="1" applyAlignment="1">
      <alignment horizontal="center" vertical="center" wrapText="1" shrinkToFit="1"/>
    </xf>
    <xf numFmtId="0" fontId="11" fillId="0" borderId="7"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left" vertical="center" wrapText="1"/>
    </xf>
    <xf numFmtId="164" fontId="4" fillId="2" borderId="11" xfId="1" quotePrefix="1" applyNumberFormat="1" applyFont="1" applyFill="1" applyBorder="1" applyAlignment="1">
      <alignment horizontal="left" vertical="center" wrapText="1"/>
    </xf>
    <xf numFmtId="0" fontId="11" fillId="0" borderId="12" xfId="0" applyFont="1" applyBorder="1" applyAlignment="1">
      <alignment horizontal="center" vertical="center" wrapText="1"/>
    </xf>
    <xf numFmtId="0" fontId="10" fillId="0" borderId="13" xfId="0" applyFont="1" applyBorder="1" applyAlignment="1">
      <alignment horizontal="left" vertical="center" wrapText="1"/>
    </xf>
    <xf numFmtId="0" fontId="11" fillId="0" borderId="9" xfId="0" applyFont="1" applyBorder="1" applyAlignment="1">
      <alignment horizontal="left" vertical="center" wrapText="1"/>
    </xf>
    <xf numFmtId="0" fontId="11" fillId="0" borderId="15" xfId="0" applyFont="1" applyBorder="1" applyAlignment="1">
      <alignment horizontal="center" vertical="center" wrapText="1"/>
    </xf>
    <xf numFmtId="0" fontId="11" fillId="0" borderId="16" xfId="0" applyFont="1" applyBorder="1" applyAlignment="1">
      <alignment horizontal="left" vertical="center" wrapText="1"/>
    </xf>
    <xf numFmtId="0" fontId="11" fillId="0" borderId="17" xfId="0" applyFont="1" applyBorder="1" applyAlignment="1">
      <alignment horizontal="left" vertical="center" wrapText="1"/>
    </xf>
    <xf numFmtId="0" fontId="11" fillId="0" borderId="18" xfId="0" applyFont="1" applyBorder="1" applyAlignment="1">
      <alignment horizontal="center" vertical="center" wrapText="1"/>
    </xf>
    <xf numFmtId="0" fontId="10" fillId="0" borderId="8" xfId="0" applyFont="1" applyBorder="1" applyAlignment="1">
      <alignment horizontal="left" vertical="center" wrapText="1"/>
    </xf>
    <xf numFmtId="0" fontId="11" fillId="0" borderId="14" xfId="0" applyFont="1" applyBorder="1" applyAlignment="1">
      <alignment horizontal="left" vertical="center" wrapText="1"/>
    </xf>
    <xf numFmtId="0" fontId="10" fillId="0" borderId="8" xfId="0" applyFont="1" applyBorder="1" applyAlignment="1">
      <alignment vertical="center" wrapText="1"/>
    </xf>
    <xf numFmtId="164" fontId="4" fillId="2" borderId="14" xfId="1" applyNumberFormat="1" applyFont="1" applyFill="1" applyBorder="1" applyAlignment="1">
      <alignment horizontal="left" vertical="center" wrapText="1"/>
    </xf>
    <xf numFmtId="164" fontId="4" fillId="2" borderId="9" xfId="1" applyNumberFormat="1" applyFont="1" applyFill="1" applyBorder="1" applyAlignment="1">
      <alignment horizontal="left" vertical="center" wrapText="1"/>
    </xf>
    <xf numFmtId="0" fontId="10" fillId="0" borderId="8" xfId="0" applyFont="1" applyBorder="1" applyAlignment="1">
      <alignment horizontal="justify" vertical="center"/>
    </xf>
    <xf numFmtId="164" fontId="10" fillId="0" borderId="8" xfId="1" quotePrefix="1" applyNumberFormat="1" applyFont="1" applyFill="1" applyBorder="1" applyAlignment="1">
      <alignment vertical="center" wrapText="1"/>
    </xf>
    <xf numFmtId="0" fontId="0" fillId="0" borderId="9" xfId="0" applyBorder="1" applyAlignment="1">
      <alignment horizontal="left"/>
    </xf>
    <xf numFmtId="0" fontId="10" fillId="0" borderId="13" xfId="0" applyFont="1" applyBorder="1" applyAlignment="1">
      <alignment vertical="center"/>
    </xf>
    <xf numFmtId="0" fontId="10" fillId="0" borderId="13" xfId="0" applyFont="1" applyBorder="1" applyAlignment="1">
      <alignment horizontal="justify" vertical="center"/>
    </xf>
    <xf numFmtId="0" fontId="10" fillId="0" borderId="16" xfId="0" applyFont="1" applyBorder="1" applyAlignment="1">
      <alignment horizontal="left" vertical="center" wrapText="1"/>
    </xf>
    <xf numFmtId="0" fontId="10" fillId="0" borderId="17" xfId="0" applyFont="1" applyBorder="1" applyAlignment="1">
      <alignment horizontal="left" vertical="center" wrapText="1"/>
    </xf>
    <xf numFmtId="165" fontId="4" fillId="0" borderId="11" xfId="0" applyNumberFormat="1" applyFont="1" applyBorder="1" applyAlignment="1">
      <alignment vertical="center"/>
    </xf>
    <xf numFmtId="0" fontId="16" fillId="0" borderId="11" xfId="0" applyFont="1" applyBorder="1"/>
    <xf numFmtId="165" fontId="4" fillId="2" borderId="11" xfId="1" applyNumberFormat="1" applyFont="1" applyFill="1" applyBorder="1" applyAlignment="1">
      <alignment vertical="center"/>
    </xf>
    <xf numFmtId="49" fontId="2" fillId="0" borderId="11" xfId="0" applyNumberFormat="1" applyFont="1" applyBorder="1" applyAlignment="1">
      <alignment vertical="center"/>
    </xf>
    <xf numFmtId="165" fontId="4" fillId="2" borderId="11" xfId="1" applyNumberFormat="1" applyFont="1" applyFill="1" applyBorder="1" applyAlignment="1">
      <alignment horizontal="right" vertical="center" wrapText="1"/>
    </xf>
    <xf numFmtId="165" fontId="4" fillId="0" borderId="11" xfId="0" applyNumberFormat="1" applyFont="1" applyBorder="1" applyAlignment="1">
      <alignment horizontal="center" vertical="center"/>
    </xf>
    <xf numFmtId="165" fontId="4" fillId="0" borderId="11" xfId="1" applyNumberFormat="1" applyFont="1" applyBorder="1" applyAlignment="1">
      <alignment vertical="center"/>
    </xf>
    <xf numFmtId="164" fontId="20" fillId="0" borderId="16" xfId="1" applyNumberFormat="1" applyFont="1" applyBorder="1" applyAlignment="1">
      <alignment vertical="center"/>
    </xf>
    <xf numFmtId="0" fontId="20" fillId="0" borderId="16" xfId="0" applyFont="1" applyBorder="1" applyAlignment="1">
      <alignment vertical="center" wrapText="1"/>
    </xf>
    <xf numFmtId="0" fontId="20" fillId="0" borderId="16" xfId="0" applyFont="1" applyBorder="1" applyAlignment="1">
      <alignment vertical="center"/>
    </xf>
    <xf numFmtId="165" fontId="4" fillId="0" borderId="17" xfId="0" applyNumberFormat="1" applyFont="1" applyBorder="1" applyAlignment="1">
      <alignment vertical="center"/>
    </xf>
    <xf numFmtId="164" fontId="2" fillId="2" borderId="13" xfId="1" applyNumberFormat="1" applyFont="1" applyFill="1" applyBorder="1" applyAlignment="1">
      <alignment horizontal="justify" vertical="center"/>
    </xf>
    <xf numFmtId="164" fontId="2" fillId="2" borderId="13" xfId="1" applyNumberFormat="1" applyFont="1" applyFill="1" applyBorder="1" applyAlignment="1">
      <alignment horizontal="center" vertical="center" wrapText="1"/>
    </xf>
    <xf numFmtId="164" fontId="2" fillId="2" borderId="13" xfId="1" applyNumberFormat="1" applyFont="1" applyFill="1" applyBorder="1" applyAlignment="1">
      <alignment horizontal="right" vertical="center" wrapText="1"/>
    </xf>
    <xf numFmtId="165" fontId="4" fillId="0" borderId="14" xfId="0" applyNumberFormat="1" applyFont="1" applyBorder="1" applyAlignment="1">
      <alignment horizontal="center" vertical="center"/>
    </xf>
    <xf numFmtId="164" fontId="2" fillId="2" borderId="13" xfId="1" applyNumberFormat="1" applyFont="1" applyFill="1" applyBorder="1" applyAlignment="1">
      <alignment vertical="center"/>
    </xf>
    <xf numFmtId="165" fontId="4" fillId="2" borderId="14" xfId="1" applyNumberFormat="1" applyFont="1" applyFill="1" applyBorder="1" applyAlignment="1">
      <alignment vertical="center"/>
    </xf>
    <xf numFmtId="0" fontId="2" fillId="0" borderId="13" xfId="0" applyFont="1" applyBorder="1" applyAlignment="1">
      <alignment vertical="center" wrapText="1" shrinkToFit="1"/>
    </xf>
    <xf numFmtId="0" fontId="2" fillId="0" borderId="13" xfId="0" applyFont="1" applyBorder="1" applyAlignment="1">
      <alignment horizontal="center" vertical="center" wrapText="1"/>
    </xf>
    <xf numFmtId="164" fontId="2" fillId="0" borderId="13" xfId="1" applyNumberFormat="1" applyFont="1" applyBorder="1" applyAlignment="1">
      <alignment vertical="center"/>
    </xf>
    <xf numFmtId="164" fontId="2" fillId="0" borderId="13" xfId="1" applyNumberFormat="1" applyFont="1" applyBorder="1" applyAlignment="1">
      <alignment horizontal="center" vertical="center" wrapText="1"/>
    </xf>
    <xf numFmtId="164" fontId="2" fillId="2" borderId="13" xfId="1" applyNumberFormat="1" applyFont="1" applyFill="1" applyBorder="1" applyAlignment="1">
      <alignment vertical="center" wrapText="1"/>
    </xf>
    <xf numFmtId="164" fontId="2" fillId="2" borderId="13" xfId="1" applyNumberFormat="1" applyFont="1" applyFill="1" applyBorder="1" applyAlignment="1">
      <alignment horizontal="center" vertical="center"/>
    </xf>
    <xf numFmtId="165" fontId="4" fillId="2" borderId="14" xfId="1" applyNumberFormat="1" applyFont="1" applyFill="1" applyBorder="1" applyAlignment="1">
      <alignment horizontal="right" vertical="center" wrapText="1"/>
    </xf>
    <xf numFmtId="49" fontId="2" fillId="0" borderId="14" xfId="0" applyNumberFormat="1" applyFont="1" applyBorder="1" applyAlignment="1">
      <alignment vertical="center"/>
    </xf>
    <xf numFmtId="0" fontId="20" fillId="0" borderId="15" xfId="0" applyFont="1" applyBorder="1" applyAlignment="1">
      <alignment horizontal="center" vertical="center" wrapText="1"/>
    </xf>
    <xf numFmtId="0" fontId="20" fillId="0" borderId="16" xfId="0" applyFont="1" applyBorder="1" applyAlignment="1">
      <alignment horizontal="left" vertical="center" wrapText="1"/>
    </xf>
    <xf numFmtId="0" fontId="4" fillId="0" borderId="8" xfId="0" quotePrefix="1" applyFont="1" applyBorder="1" applyAlignment="1">
      <alignment horizontal="left" vertical="center" wrapText="1"/>
    </xf>
    <xf numFmtId="0" fontId="16" fillId="0" borderId="9" xfId="0" applyFont="1" applyBorder="1"/>
    <xf numFmtId="0" fontId="4" fillId="0" borderId="16" xfId="0" applyFont="1" applyBorder="1" applyAlignment="1">
      <alignment horizontal="left" vertical="center" wrapText="1"/>
    </xf>
    <xf numFmtId="0" fontId="20" fillId="0" borderId="16" xfId="0" applyFont="1" applyBorder="1" applyAlignment="1">
      <alignment horizontal="center" vertical="center" wrapText="1"/>
    </xf>
    <xf numFmtId="164" fontId="20" fillId="0" borderId="16" xfId="1" applyNumberFormat="1" applyFont="1" applyBorder="1" applyAlignment="1">
      <alignment horizontal="left" vertical="center" wrapText="1"/>
    </xf>
    <xf numFmtId="165" fontId="20" fillId="0" borderId="17" xfId="0" applyNumberFormat="1" applyFont="1" applyBorder="1" applyAlignment="1">
      <alignment horizontal="left" vertical="center" wrapText="1"/>
    </xf>
    <xf numFmtId="0" fontId="11" fillId="0" borderId="7" xfId="0" applyFont="1" applyBorder="1" applyAlignment="1">
      <alignment vertical="center" wrapText="1"/>
    </xf>
    <xf numFmtId="0" fontId="11" fillId="0" borderId="21" xfId="0" applyFont="1" applyBorder="1" applyAlignment="1">
      <alignment horizontal="center" vertical="center" wrapText="1"/>
    </xf>
    <xf numFmtId="0" fontId="10" fillId="0" borderId="2" xfId="0" applyFont="1" applyBorder="1" applyAlignment="1">
      <alignment horizontal="left" vertical="center" wrapText="1"/>
    </xf>
    <xf numFmtId="0" fontId="11" fillId="0" borderId="24" xfId="0" applyFont="1" applyBorder="1" applyAlignment="1">
      <alignment horizontal="left" vertical="center" wrapText="1"/>
    </xf>
    <xf numFmtId="0" fontId="2" fillId="2" borderId="1" xfId="0" applyFont="1" applyFill="1" applyBorder="1" applyAlignment="1">
      <alignment horizontal="center" vertical="center" wrapText="1" shrinkToFit="1"/>
    </xf>
    <xf numFmtId="0" fontId="2" fillId="2" borderId="1" xfId="0" applyFont="1" applyFill="1" applyBorder="1" applyAlignment="1">
      <alignment horizontal="left" vertical="center" wrapText="1" shrinkToFit="1"/>
    </xf>
    <xf numFmtId="0" fontId="11"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8" xfId="0" applyFont="1" applyBorder="1" applyAlignment="1">
      <alignment horizontal="left" vertical="center" wrapText="1"/>
    </xf>
    <xf numFmtId="0" fontId="10" fillId="0" borderId="29" xfId="0" applyFont="1" applyBorder="1" applyAlignment="1">
      <alignment horizontal="left" vertical="center" wrapText="1"/>
    </xf>
    <xf numFmtId="0" fontId="10" fillId="0" borderId="30" xfId="0" applyFont="1" applyBorder="1" applyAlignment="1">
      <alignment horizontal="left" vertical="center" wrapText="1"/>
    </xf>
    <xf numFmtId="0" fontId="10" fillId="0" borderId="26" xfId="0" applyFont="1" applyBorder="1" applyAlignment="1">
      <alignment horizontal="left" vertical="center" wrapText="1"/>
    </xf>
    <xf numFmtId="0" fontId="20" fillId="0" borderId="26" xfId="0" applyFont="1" applyBorder="1" applyAlignment="1">
      <alignment horizontal="left" vertical="center" wrapText="1"/>
    </xf>
    <xf numFmtId="164" fontId="2" fillId="2" borderId="29" xfId="1" applyNumberFormat="1" applyFont="1" applyFill="1" applyBorder="1" applyAlignment="1">
      <alignment horizontal="center" vertical="center" wrapText="1"/>
    </xf>
    <xf numFmtId="164" fontId="2" fillId="0" borderId="29" xfId="1" applyNumberFormat="1" applyFont="1" applyBorder="1" applyAlignment="1">
      <alignment horizontal="center" vertical="center" wrapText="1"/>
    </xf>
    <xf numFmtId="164" fontId="2" fillId="2" borderId="27" xfId="1" applyNumberFormat="1" applyFont="1" applyFill="1" applyBorder="1" applyAlignment="1">
      <alignment horizontal="center" vertical="center" wrapText="1"/>
    </xf>
    <xf numFmtId="164" fontId="2" fillId="0" borderId="27" xfId="1" applyNumberFormat="1" applyFont="1" applyBorder="1" applyAlignment="1">
      <alignment horizontal="center" vertical="center" wrapText="1"/>
    </xf>
    <xf numFmtId="0" fontId="20" fillId="0" borderId="26" xfId="0" applyFont="1" applyBorder="1" applyAlignment="1">
      <alignment vertical="center"/>
    </xf>
    <xf numFmtId="164" fontId="2" fillId="0" borderId="29" xfId="1" applyNumberFormat="1" applyFont="1" applyFill="1" applyBorder="1" applyAlignment="1">
      <alignment horizontal="center" vertical="center" wrapText="1"/>
    </xf>
    <xf numFmtId="0" fontId="10" fillId="0" borderId="25" xfId="0" applyFont="1" applyBorder="1" applyAlignment="1">
      <alignment horizontal="left" vertical="center" wrapText="1"/>
    </xf>
    <xf numFmtId="0" fontId="10" fillId="0" borderId="3" xfId="0" applyFont="1" applyBorder="1" applyAlignment="1">
      <alignment horizontal="left" vertical="center" wrapText="1"/>
    </xf>
    <xf numFmtId="0" fontId="10" fillId="0" borderId="0" xfId="0" applyFont="1" applyAlignment="1">
      <alignment horizontal="left" vertical="center" wrapText="1"/>
    </xf>
    <xf numFmtId="0" fontId="10" fillId="0" borderId="2" xfId="0" applyFont="1" applyBorder="1" applyAlignment="1">
      <alignment vertical="center" wrapText="1"/>
    </xf>
    <xf numFmtId="0" fontId="10" fillId="0" borderId="13" xfId="0" applyFont="1" applyBorder="1" applyAlignment="1">
      <alignment vertical="center" wrapText="1"/>
    </xf>
    <xf numFmtId="0" fontId="10" fillId="0" borderId="1" xfId="0" applyFont="1" applyBorder="1" applyAlignment="1">
      <alignment vertical="center" wrapText="1"/>
    </xf>
    <xf numFmtId="0" fontId="10" fillId="0" borderId="25" xfId="0" applyFont="1" applyBorder="1" applyAlignment="1">
      <alignment vertical="center" wrapText="1"/>
    </xf>
    <xf numFmtId="0" fontId="10" fillId="0" borderId="3" xfId="0" applyFont="1" applyBorder="1" applyAlignment="1">
      <alignment vertical="center" wrapText="1"/>
    </xf>
    <xf numFmtId="0" fontId="10" fillId="0" borderId="6" xfId="0" applyFont="1" applyBorder="1" applyAlignment="1">
      <alignment vertical="center" wrapText="1"/>
    </xf>
    <xf numFmtId="0" fontId="11" fillId="0" borderId="0" xfId="0" applyFont="1" applyAlignment="1">
      <alignment horizontal="center" vertical="center" wrapText="1"/>
    </xf>
    <xf numFmtId="0" fontId="11" fillId="0" borderId="6" xfId="0" applyFont="1" applyBorder="1" applyAlignment="1">
      <alignment horizontal="left" vertical="center" wrapText="1"/>
    </xf>
    <xf numFmtId="0" fontId="11" fillId="0" borderId="4" xfId="0" applyFont="1" applyBorder="1" applyAlignment="1">
      <alignment horizontal="left" vertical="center" wrapText="1"/>
    </xf>
    <xf numFmtId="0" fontId="11" fillId="0" borderId="19" xfId="0" applyFont="1" applyBorder="1" applyAlignment="1">
      <alignment horizontal="left" vertical="center" wrapText="1"/>
    </xf>
    <xf numFmtId="0" fontId="11" fillId="0" borderId="7" xfId="0" applyFont="1" applyBorder="1" applyAlignment="1">
      <alignment horizontal="center" vertical="center" wrapText="1"/>
    </xf>
    <xf numFmtId="0" fontId="11" fillId="0" borderId="12" xfId="0" applyFont="1" applyBorder="1" applyAlignment="1">
      <alignment horizontal="center" vertical="center" wrapText="1"/>
    </xf>
    <xf numFmtId="0" fontId="10" fillId="0" borderId="8" xfId="0" applyFont="1" applyBorder="1" applyAlignment="1">
      <alignment horizontal="left" vertical="center" wrapText="1"/>
    </xf>
    <xf numFmtId="0" fontId="10" fillId="0" borderId="13" xfId="0" applyFont="1" applyBorder="1" applyAlignment="1">
      <alignment horizontal="left" vertical="center" wrapText="1"/>
    </xf>
    <xf numFmtId="0" fontId="11" fillId="0" borderId="23" xfId="0" applyFont="1" applyBorder="1" applyAlignment="1">
      <alignment horizontal="center" vertical="center" wrapText="1"/>
    </xf>
    <xf numFmtId="0" fontId="10" fillId="0" borderId="2"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10" fillId="0" borderId="14" xfId="0" applyFont="1" applyBorder="1" applyAlignment="1">
      <alignment horizontal="left" vertical="center" wrapText="1"/>
    </xf>
    <xf numFmtId="164" fontId="10" fillId="0" borderId="1" xfId="1" quotePrefix="1" applyNumberFormat="1" applyFont="1" applyFill="1" applyBorder="1" applyAlignment="1">
      <alignment horizontal="left" vertical="center" wrapText="1"/>
    </xf>
    <xf numFmtId="164" fontId="10" fillId="0" borderId="13" xfId="1" quotePrefix="1" applyNumberFormat="1" applyFont="1" applyFill="1" applyBorder="1" applyAlignment="1">
      <alignment horizontal="left" vertical="center" wrapText="1"/>
    </xf>
    <xf numFmtId="0" fontId="10" fillId="0" borderId="11" xfId="0" quotePrefix="1" applyFont="1" applyBorder="1" applyAlignment="1">
      <alignment horizontal="left" vertical="center" wrapText="1"/>
    </xf>
    <xf numFmtId="0" fontId="11" fillId="0" borderId="8" xfId="0" applyFont="1" applyBorder="1" applyAlignment="1">
      <alignment horizontal="left" vertical="center" wrapText="1"/>
    </xf>
    <xf numFmtId="0" fontId="11" fillId="0" borderId="1" xfId="0" applyFont="1" applyBorder="1" applyAlignment="1">
      <alignment horizontal="left" vertical="center" wrapText="1"/>
    </xf>
    <xf numFmtId="0" fontId="11" fillId="0" borderId="13" xfId="0" applyFont="1" applyBorder="1" applyAlignment="1">
      <alignment horizontal="left" vertical="center" wrapText="1"/>
    </xf>
    <xf numFmtId="0" fontId="11" fillId="0" borderId="20" xfId="0" applyFont="1" applyBorder="1" applyAlignment="1">
      <alignment horizontal="left" vertical="center" wrapText="1"/>
    </xf>
    <xf numFmtId="0" fontId="11" fillId="0" borderId="31" xfId="0" applyFont="1" applyBorder="1" applyAlignment="1">
      <alignment horizontal="left" vertical="center" wrapText="1"/>
    </xf>
    <xf numFmtId="0" fontId="11" fillId="0" borderId="22" xfId="0" applyFont="1" applyBorder="1" applyAlignment="1">
      <alignment horizontal="left" vertical="center" wrapText="1"/>
    </xf>
    <xf numFmtId="0" fontId="11" fillId="0" borderId="16" xfId="0" applyFont="1" applyBorder="1" applyAlignment="1">
      <alignment horizontal="left" vertical="center" wrapText="1"/>
    </xf>
    <xf numFmtId="0" fontId="11" fillId="0" borderId="26" xfId="0" applyFont="1" applyBorder="1" applyAlignment="1">
      <alignment horizontal="left" vertical="center" wrapText="1"/>
    </xf>
    <xf numFmtId="0" fontId="11" fillId="0" borderId="17" xfId="0" applyFont="1" applyBorder="1" applyAlignment="1">
      <alignment horizontal="left" vertical="center" wrapText="1"/>
    </xf>
    <xf numFmtId="0" fontId="11" fillId="0" borderId="8" xfId="0" applyFont="1" applyBorder="1" applyAlignment="1">
      <alignment vertical="center" wrapText="1"/>
    </xf>
    <xf numFmtId="0" fontId="11" fillId="0" borderId="1" xfId="0" applyFont="1" applyBorder="1" applyAlignment="1">
      <alignment vertical="center" wrapText="1"/>
    </xf>
    <xf numFmtId="0" fontId="11" fillId="0" borderId="13" xfId="0" applyFont="1" applyBorder="1" applyAlignment="1">
      <alignment vertical="center" wrapText="1"/>
    </xf>
    <xf numFmtId="0" fontId="10" fillId="0" borderId="9" xfId="0" quotePrefix="1" applyFont="1" applyBorder="1" applyAlignment="1">
      <alignment horizontal="left" vertical="center" wrapText="1"/>
    </xf>
    <xf numFmtId="0" fontId="20" fillId="0" borderId="0" xfId="0" applyFont="1" applyAlignment="1">
      <alignment horizontal="center" vertical="center" wrapText="1"/>
    </xf>
    <xf numFmtId="0" fontId="20" fillId="0" borderId="15" xfId="0" applyFont="1" applyBorder="1" applyAlignment="1">
      <alignment horizontal="center" vertical="center"/>
    </xf>
    <xf numFmtId="0" fontId="20" fillId="0" borderId="16" xfId="0" applyFont="1" applyBorder="1" applyAlignment="1">
      <alignment horizontal="center" vertical="center"/>
    </xf>
    <xf numFmtId="0" fontId="20" fillId="0" borderId="7"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12" xfId="0" applyFont="1" applyBorder="1" applyAlignment="1">
      <alignment horizontal="center" vertical="center" wrapText="1"/>
    </xf>
    <xf numFmtId="0" fontId="4" fillId="0" borderId="1" xfId="0" applyFont="1" applyBorder="1" applyAlignment="1">
      <alignment horizontal="left" vertical="center" wrapText="1"/>
    </xf>
    <xf numFmtId="0" fontId="4" fillId="0" borderId="13" xfId="0" applyFont="1" applyBorder="1" applyAlignment="1">
      <alignment horizontal="left" vertical="center" wrapText="1"/>
    </xf>
    <xf numFmtId="0" fontId="20" fillId="0" borderId="8" xfId="0" applyFont="1" applyBorder="1" applyAlignment="1">
      <alignment horizontal="left" vertical="center" wrapText="1"/>
    </xf>
    <xf numFmtId="0" fontId="20" fillId="0" borderId="28" xfId="0" applyFont="1" applyBorder="1" applyAlignment="1">
      <alignment horizontal="left" vertical="center" wrapText="1"/>
    </xf>
    <xf numFmtId="0" fontId="20" fillId="0" borderId="9" xfId="0" applyFont="1" applyBorder="1" applyAlignment="1">
      <alignment horizontal="left" vertical="center" wrapText="1"/>
    </xf>
    <xf numFmtId="0" fontId="4" fillId="0" borderId="1" xfId="0" applyFont="1" applyBorder="1" applyAlignment="1">
      <alignment horizontal="left" vertical="center"/>
    </xf>
    <xf numFmtId="0" fontId="20" fillId="0" borderId="16" xfId="0" applyFont="1" applyBorder="1" applyAlignment="1">
      <alignment horizontal="left" vertical="center" wrapText="1"/>
    </xf>
    <xf numFmtId="0" fontId="20" fillId="0" borderId="26" xfId="0" applyFont="1" applyBorder="1" applyAlignment="1">
      <alignment horizontal="left" vertical="center" wrapText="1"/>
    </xf>
    <xf numFmtId="0" fontId="20" fillId="0" borderId="17" xfId="0" applyFont="1" applyBorder="1" applyAlignment="1">
      <alignment horizontal="left" vertical="center" wrapText="1"/>
    </xf>
    <xf numFmtId="0" fontId="4" fillId="0" borderId="2" xfId="0" applyFont="1" applyBorder="1" applyAlignment="1">
      <alignment horizontal="left" vertical="center" wrapText="1"/>
    </xf>
    <xf numFmtId="0" fontId="4" fillId="0" borderId="6" xfId="0" applyFont="1" applyBorder="1" applyAlignment="1">
      <alignment horizontal="left" vertical="center" wrapText="1"/>
    </xf>
    <xf numFmtId="0" fontId="4" fillId="0" borderId="20" xfId="0" applyFont="1" applyBorder="1" applyAlignment="1">
      <alignment horizontal="left" vertical="center" wrapText="1"/>
    </xf>
    <xf numFmtId="0" fontId="20" fillId="0" borderId="2" xfId="0" applyFont="1" applyBorder="1" applyAlignment="1">
      <alignment horizontal="left" vertical="center" wrapText="1"/>
    </xf>
    <xf numFmtId="0" fontId="20" fillId="0" borderId="6" xfId="0" applyFont="1" applyBorder="1" applyAlignment="1">
      <alignment horizontal="left" vertical="center" wrapText="1"/>
    </xf>
    <xf numFmtId="0" fontId="20" fillId="0" borderId="20" xfId="0" applyFont="1" applyBorder="1" applyAlignment="1">
      <alignment horizontal="left" vertical="center" wrapText="1"/>
    </xf>
    <xf numFmtId="164" fontId="4" fillId="2" borderId="8" xfId="1" quotePrefix="1" applyNumberFormat="1" applyFont="1" applyFill="1" applyBorder="1" applyAlignment="1">
      <alignment horizontal="left" vertical="center" wrapText="1"/>
    </xf>
    <xf numFmtId="164" fontId="4" fillId="2" borderId="1" xfId="1" quotePrefix="1" applyNumberFormat="1" applyFont="1" applyFill="1" applyBorder="1" applyAlignment="1">
      <alignment horizontal="left" vertical="center" wrapText="1"/>
    </xf>
    <xf numFmtId="0" fontId="4" fillId="0" borderId="8" xfId="0" applyFont="1" applyBorder="1" applyAlignment="1">
      <alignment horizontal="left" vertical="center" wrapText="1"/>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164" fontId="4" fillId="0" borderId="8" xfId="1" applyNumberFormat="1" applyFont="1" applyBorder="1" applyAlignment="1">
      <alignment horizontal="center" vertical="center"/>
    </xf>
    <xf numFmtId="164" fontId="4" fillId="0" borderId="1" xfId="1" applyNumberFormat="1" applyFont="1" applyBorder="1" applyAlignment="1">
      <alignment horizontal="center" vertical="center"/>
    </xf>
    <xf numFmtId="164" fontId="4" fillId="2" borderId="25" xfId="1" quotePrefix="1" applyNumberFormat="1" applyFont="1" applyFill="1" applyBorder="1" applyAlignment="1">
      <alignment horizontal="center" vertical="center" wrapText="1"/>
    </xf>
    <xf numFmtId="164" fontId="4" fillId="2" borderId="6" xfId="1" quotePrefix="1" applyNumberFormat="1" applyFont="1" applyFill="1" applyBorder="1" applyAlignment="1">
      <alignment horizontal="center" vertical="center" wrapText="1"/>
    </xf>
    <xf numFmtId="164" fontId="4" fillId="2" borderId="20" xfId="1" quotePrefix="1" applyNumberFormat="1" applyFont="1" applyFill="1" applyBorder="1" applyAlignment="1">
      <alignment horizontal="center" vertical="center" wrapText="1"/>
    </xf>
    <xf numFmtId="0" fontId="4" fillId="0" borderId="2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0" xfId="0" applyFont="1" applyBorder="1" applyAlignment="1">
      <alignment horizontal="center" vertical="center" wrapText="1"/>
    </xf>
    <xf numFmtId="164" fontId="14" fillId="2" borderId="2" xfId="1" applyNumberFormat="1" applyFont="1" applyFill="1" applyBorder="1" applyAlignment="1">
      <alignment horizontal="center" vertical="center" wrapText="1"/>
    </xf>
    <xf numFmtId="164" fontId="14" fillId="2" borderId="3" xfId="1" applyNumberFormat="1" applyFont="1" applyFill="1" applyBorder="1" applyAlignment="1">
      <alignment horizontal="center" vertical="center" wrapText="1"/>
    </xf>
    <xf numFmtId="164" fontId="14" fillId="2" borderId="1" xfId="1" applyNumberFormat="1" applyFont="1" applyFill="1" applyBorder="1" applyAlignment="1">
      <alignment horizontal="center" vertical="center" wrapText="1"/>
    </xf>
    <xf numFmtId="0" fontId="14" fillId="0" borderId="4" xfId="0" applyFont="1" applyBorder="1" applyAlignment="1">
      <alignment horizontal="center" vertical="center"/>
    </xf>
    <xf numFmtId="0" fontId="15" fillId="3" borderId="0" xfId="0" quotePrefix="1" applyFont="1" applyFill="1" applyAlignment="1">
      <alignment horizontal="center" vertical="center" wrapText="1"/>
    </xf>
    <xf numFmtId="0" fontId="15" fillId="3" borderId="0" xfId="0" applyFont="1" applyFill="1" applyAlignment="1">
      <alignment horizontal="center" vertical="center" wrapText="1"/>
    </xf>
    <xf numFmtId="164" fontId="14" fillId="2" borderId="1" xfId="1" applyNumberFormat="1" applyFont="1" applyFill="1" applyBorder="1" applyAlignment="1">
      <alignment horizontal="center" vertical="center"/>
    </xf>
    <xf numFmtId="49" fontId="14" fillId="2" borderId="1" xfId="1"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7C21-5CDB-4DAC-89E9-2F697EDC2A77}">
  <sheetPr>
    <pageSetUpPr fitToPage="1"/>
  </sheetPr>
  <dimension ref="B2:J56"/>
  <sheetViews>
    <sheetView tabSelected="1" topLeftCell="A24" zoomScale="85" zoomScaleNormal="85" zoomScaleSheetLayoutView="70" zoomScalePageLayoutView="55" workbookViewId="0">
      <selection activeCell="D28" sqref="D28:D30"/>
    </sheetView>
  </sheetViews>
  <sheetFormatPr defaultColWidth="9" defaultRowHeight="14.25" x14ac:dyDescent="0.2"/>
  <cols>
    <col min="2" max="2" width="9" style="93"/>
    <col min="3" max="3" width="68.375" customWidth="1"/>
    <col min="4" max="4" width="49.625" customWidth="1"/>
    <col min="5" max="5" width="20.875" style="97" customWidth="1"/>
    <col min="6" max="7" width="18.375" style="97" customWidth="1"/>
    <col min="8" max="8" width="15.625" style="97" customWidth="1"/>
    <col min="10" max="10" width="19" customWidth="1"/>
  </cols>
  <sheetData>
    <row r="2" spans="2:10" ht="41.25" customHeight="1" thickBot="1" x14ac:dyDescent="0.25">
      <c r="B2" s="203" t="s">
        <v>281</v>
      </c>
      <c r="C2" s="203"/>
      <c r="D2" s="203"/>
      <c r="E2" s="203"/>
      <c r="F2" s="203"/>
      <c r="G2" s="203"/>
      <c r="H2" s="203"/>
    </row>
    <row r="3" spans="2:10" s="98" customFormat="1" ht="57" thickBot="1" x14ac:dyDescent="0.3">
      <c r="B3" s="126" t="s">
        <v>71</v>
      </c>
      <c r="C3" s="127" t="s">
        <v>168</v>
      </c>
      <c r="D3" s="127" t="s">
        <v>72</v>
      </c>
      <c r="E3" s="127" t="s">
        <v>206</v>
      </c>
      <c r="F3" s="127" t="s">
        <v>182</v>
      </c>
      <c r="G3" s="181" t="s">
        <v>308</v>
      </c>
      <c r="H3" s="128" t="s">
        <v>73</v>
      </c>
    </row>
    <row r="4" spans="2:10" ht="18.75" customHeight="1" thickBot="1" x14ac:dyDescent="0.25">
      <c r="B4" s="129" t="s">
        <v>7</v>
      </c>
      <c r="C4" s="204" t="s">
        <v>183</v>
      </c>
      <c r="D4" s="204"/>
      <c r="E4" s="204"/>
      <c r="F4" s="204"/>
      <c r="G4" s="205"/>
      <c r="H4" s="206"/>
    </row>
    <row r="5" spans="2:10" ht="173.25" customHeight="1" thickBot="1" x14ac:dyDescent="0.25">
      <c r="B5" s="175" t="s">
        <v>250</v>
      </c>
      <c r="C5" s="132" t="s">
        <v>74</v>
      </c>
      <c r="D5" s="124" t="s">
        <v>103</v>
      </c>
      <c r="E5" s="124" t="s">
        <v>88</v>
      </c>
      <c r="F5" s="124" t="s">
        <v>75</v>
      </c>
      <c r="G5" s="182" t="s">
        <v>303</v>
      </c>
      <c r="H5" s="131"/>
      <c r="J5" s="196"/>
    </row>
    <row r="6" spans="2:10" ht="207" customHeight="1" x14ac:dyDescent="0.2">
      <c r="B6" s="207" t="s">
        <v>251</v>
      </c>
      <c r="C6" s="209" t="s">
        <v>76</v>
      </c>
      <c r="D6" s="130" t="s">
        <v>100</v>
      </c>
      <c r="E6" s="194" t="s">
        <v>320</v>
      </c>
      <c r="F6" s="130" t="s">
        <v>322</v>
      </c>
      <c r="G6" s="183" t="s">
        <v>303</v>
      </c>
      <c r="H6" s="125"/>
      <c r="J6" s="196"/>
    </row>
    <row r="7" spans="2:10" ht="101.25" customHeight="1" x14ac:dyDescent="0.2">
      <c r="B7" s="213"/>
      <c r="C7" s="214"/>
      <c r="D7" s="16" t="s">
        <v>106</v>
      </c>
      <c r="E7" s="16" t="s">
        <v>320</v>
      </c>
      <c r="F7" s="16" t="s">
        <v>322</v>
      </c>
      <c r="G7" s="184" t="s">
        <v>298</v>
      </c>
      <c r="H7" s="121"/>
      <c r="J7" s="196"/>
    </row>
    <row r="8" spans="2:10" ht="94.5" thickBot="1" x14ac:dyDescent="0.25">
      <c r="B8" s="208"/>
      <c r="C8" s="210"/>
      <c r="D8" s="124" t="s">
        <v>328</v>
      </c>
      <c r="E8" s="195" t="s">
        <v>320</v>
      </c>
      <c r="F8" s="124" t="s">
        <v>327</v>
      </c>
      <c r="G8" s="182" t="s">
        <v>298</v>
      </c>
      <c r="H8" s="131"/>
      <c r="J8" s="196"/>
    </row>
    <row r="9" spans="2:10" ht="56.25" x14ac:dyDescent="0.2">
      <c r="B9" s="207" t="s">
        <v>264</v>
      </c>
      <c r="C9" s="209" t="s">
        <v>77</v>
      </c>
      <c r="D9" s="130" t="s">
        <v>107</v>
      </c>
      <c r="E9" s="130" t="s">
        <v>88</v>
      </c>
      <c r="F9" s="130" t="s">
        <v>321</v>
      </c>
      <c r="G9" s="183" t="s">
        <v>303</v>
      </c>
      <c r="H9" s="125"/>
      <c r="J9" s="196"/>
    </row>
    <row r="10" spans="2:10" ht="60" customHeight="1" x14ac:dyDescent="0.2">
      <c r="B10" s="213"/>
      <c r="C10" s="214"/>
      <c r="D10" s="16" t="s">
        <v>104</v>
      </c>
      <c r="E10" s="16" t="s">
        <v>88</v>
      </c>
      <c r="F10" s="16" t="s">
        <v>321</v>
      </c>
      <c r="G10" s="184" t="s">
        <v>299</v>
      </c>
      <c r="H10" s="121"/>
      <c r="J10" s="196"/>
    </row>
    <row r="11" spans="2:10" ht="59.25" customHeight="1" thickBot="1" x14ac:dyDescent="0.25">
      <c r="B11" s="208"/>
      <c r="C11" s="210"/>
      <c r="D11" s="124" t="s">
        <v>329</v>
      </c>
      <c r="E11" s="124" t="s">
        <v>88</v>
      </c>
      <c r="F11" s="124" t="s">
        <v>321</v>
      </c>
      <c r="G11" s="182" t="s">
        <v>300</v>
      </c>
      <c r="H11" s="131"/>
      <c r="J11" s="196"/>
    </row>
    <row r="12" spans="2:10" ht="120" customHeight="1" x14ac:dyDescent="0.2">
      <c r="B12" s="207" t="s">
        <v>265</v>
      </c>
      <c r="C12" s="209" t="s">
        <v>79</v>
      </c>
      <c r="D12" s="130" t="s">
        <v>101</v>
      </c>
      <c r="E12" s="132" t="s">
        <v>324</v>
      </c>
      <c r="F12" s="132" t="s">
        <v>325</v>
      </c>
      <c r="G12" s="183" t="s">
        <v>303</v>
      </c>
      <c r="H12" s="125"/>
    </row>
    <row r="13" spans="2:10" ht="166.5" customHeight="1" thickBot="1" x14ac:dyDescent="0.25">
      <c r="B13" s="211"/>
      <c r="C13" s="212"/>
      <c r="D13" s="177" t="s">
        <v>105</v>
      </c>
      <c r="E13" s="197" t="s">
        <v>324</v>
      </c>
      <c r="F13" s="197" t="s">
        <v>325</v>
      </c>
      <c r="G13" s="185" t="s">
        <v>303</v>
      </c>
      <c r="H13" s="178"/>
    </row>
    <row r="14" spans="2:10" ht="282.75" customHeight="1" x14ac:dyDescent="0.2">
      <c r="B14" s="207" t="s">
        <v>266</v>
      </c>
      <c r="C14" s="209" t="s">
        <v>80</v>
      </c>
      <c r="D14" s="130" t="s">
        <v>81</v>
      </c>
      <c r="E14" s="130" t="s">
        <v>78</v>
      </c>
      <c r="F14" s="130" t="s">
        <v>323</v>
      </c>
      <c r="G14" s="183" t="s">
        <v>303</v>
      </c>
      <c r="H14" s="125"/>
    </row>
    <row r="15" spans="2:10" ht="94.5" thickBot="1" x14ac:dyDescent="0.25">
      <c r="B15" s="208"/>
      <c r="C15" s="210"/>
      <c r="D15" s="124" t="s">
        <v>102</v>
      </c>
      <c r="E15" s="124" t="s">
        <v>78</v>
      </c>
      <c r="F15" s="124" t="s">
        <v>323</v>
      </c>
      <c r="G15" s="182" t="s">
        <v>303</v>
      </c>
      <c r="H15" s="131"/>
    </row>
    <row r="16" spans="2:10" ht="57" thickBot="1" x14ac:dyDescent="0.25">
      <c r="B16" s="126" t="s">
        <v>277</v>
      </c>
      <c r="C16" s="171" t="s">
        <v>169</v>
      </c>
      <c r="D16" s="171" t="s">
        <v>170</v>
      </c>
      <c r="E16" s="140" t="s">
        <v>99</v>
      </c>
      <c r="F16" s="140" t="s">
        <v>75</v>
      </c>
      <c r="G16" s="186" t="s">
        <v>304</v>
      </c>
      <c r="H16" s="128"/>
    </row>
    <row r="17" spans="2:8" ht="19.5" thickBot="1" x14ac:dyDescent="0.25">
      <c r="B17" s="176" t="s">
        <v>20</v>
      </c>
      <c r="C17" s="224" t="s">
        <v>184</v>
      </c>
      <c r="D17" s="224"/>
      <c r="E17" s="224"/>
      <c r="F17" s="224"/>
      <c r="G17" s="225"/>
      <c r="H17" s="226"/>
    </row>
    <row r="18" spans="2:8" ht="206.25" customHeight="1" x14ac:dyDescent="0.2">
      <c r="B18" s="207" t="s">
        <v>252</v>
      </c>
      <c r="C18" s="209" t="s">
        <v>82</v>
      </c>
      <c r="D18" s="130" t="s">
        <v>108</v>
      </c>
      <c r="E18" s="132" t="s">
        <v>83</v>
      </c>
      <c r="F18" s="132" t="s">
        <v>75</v>
      </c>
      <c r="G18" s="183" t="s">
        <v>303</v>
      </c>
      <c r="H18" s="125"/>
    </row>
    <row r="19" spans="2:8" ht="75.75" thickBot="1" x14ac:dyDescent="0.25">
      <c r="B19" s="208"/>
      <c r="C19" s="210"/>
      <c r="D19" s="124" t="s">
        <v>109</v>
      </c>
      <c r="E19" s="198" t="s">
        <v>83</v>
      </c>
      <c r="F19" s="198" t="s">
        <v>75</v>
      </c>
      <c r="G19" s="182" t="s">
        <v>301</v>
      </c>
      <c r="H19" s="131"/>
    </row>
    <row r="20" spans="2:8" ht="75" x14ac:dyDescent="0.2">
      <c r="B20" s="207" t="s">
        <v>253</v>
      </c>
      <c r="C20" s="209" t="s">
        <v>84</v>
      </c>
      <c r="D20" s="130" t="s">
        <v>110</v>
      </c>
      <c r="E20" s="200" t="s">
        <v>83</v>
      </c>
      <c r="F20" s="200" t="s">
        <v>75</v>
      </c>
      <c r="G20" s="183" t="s">
        <v>302</v>
      </c>
      <c r="H20" s="125"/>
    </row>
    <row r="21" spans="2:8" ht="112.5" x14ac:dyDescent="0.2">
      <c r="B21" s="213"/>
      <c r="C21" s="214"/>
      <c r="D21" s="16" t="s">
        <v>111</v>
      </c>
      <c r="E21" s="199" t="s">
        <v>83</v>
      </c>
      <c r="F21" s="199" t="s">
        <v>75</v>
      </c>
      <c r="G21" s="184" t="s">
        <v>302</v>
      </c>
      <c r="H21" s="121"/>
    </row>
    <row r="22" spans="2:8" ht="75.75" thickBot="1" x14ac:dyDescent="0.25">
      <c r="B22" s="208"/>
      <c r="C22" s="210"/>
      <c r="D22" s="124" t="s">
        <v>278</v>
      </c>
      <c r="E22" s="201" t="s">
        <v>83</v>
      </c>
      <c r="F22" s="201" t="s">
        <v>75</v>
      </c>
      <c r="G22" s="182" t="s">
        <v>302</v>
      </c>
      <c r="H22" s="133"/>
    </row>
    <row r="23" spans="2:8" ht="75" x14ac:dyDescent="0.2">
      <c r="B23" s="207" t="s">
        <v>254</v>
      </c>
      <c r="C23" s="209" t="s">
        <v>85</v>
      </c>
      <c r="D23" s="130" t="s">
        <v>112</v>
      </c>
      <c r="E23" s="130" t="s">
        <v>94</v>
      </c>
      <c r="F23" s="130" t="s">
        <v>91</v>
      </c>
      <c r="G23" s="183" t="s">
        <v>305</v>
      </c>
      <c r="H23" s="134"/>
    </row>
    <row r="24" spans="2:8" ht="112.5" x14ac:dyDescent="0.2">
      <c r="B24" s="213"/>
      <c r="C24" s="214"/>
      <c r="D24" s="16" t="s">
        <v>113</v>
      </c>
      <c r="E24" s="16" t="s">
        <v>88</v>
      </c>
      <c r="F24" s="16" t="s">
        <v>91</v>
      </c>
      <c r="G24" s="184" t="s">
        <v>305</v>
      </c>
      <c r="H24" s="122" t="s">
        <v>179</v>
      </c>
    </row>
    <row r="25" spans="2:8" ht="57" thickBot="1" x14ac:dyDescent="0.25">
      <c r="B25" s="208"/>
      <c r="C25" s="210"/>
      <c r="D25" s="124" t="s">
        <v>167</v>
      </c>
      <c r="E25" s="124" t="s">
        <v>21</v>
      </c>
      <c r="F25" s="124" t="s">
        <v>86</v>
      </c>
      <c r="G25" s="182" t="s">
        <v>305</v>
      </c>
      <c r="H25" s="133" t="s">
        <v>23</v>
      </c>
    </row>
    <row r="26" spans="2:8" ht="19.5" thickBot="1" x14ac:dyDescent="0.25">
      <c r="B26" s="126" t="s">
        <v>28</v>
      </c>
      <c r="C26" s="227" t="s">
        <v>233</v>
      </c>
      <c r="D26" s="227"/>
      <c r="E26" s="227"/>
      <c r="F26" s="227"/>
      <c r="G26" s="228"/>
      <c r="H26" s="229"/>
    </row>
    <row r="27" spans="2:8" ht="56.25" customHeight="1" x14ac:dyDescent="0.2">
      <c r="B27" s="119" t="s">
        <v>267</v>
      </c>
      <c r="C27" s="135" t="s">
        <v>186</v>
      </c>
      <c r="D27" s="136" t="s">
        <v>190</v>
      </c>
      <c r="E27" s="130" t="s">
        <v>99</v>
      </c>
      <c r="F27" s="130" t="s">
        <v>75</v>
      </c>
      <c r="G27" s="183" t="s">
        <v>305</v>
      </c>
      <c r="H27" s="137"/>
    </row>
    <row r="28" spans="2:8" ht="56.25" customHeight="1" x14ac:dyDescent="0.2">
      <c r="B28" s="120" t="s">
        <v>268</v>
      </c>
      <c r="C28" s="94" t="s">
        <v>187</v>
      </c>
      <c r="D28" s="218" t="s">
        <v>191</v>
      </c>
      <c r="E28" s="16" t="s">
        <v>204</v>
      </c>
      <c r="F28" s="16" t="s">
        <v>75</v>
      </c>
      <c r="G28" s="184" t="s">
        <v>305</v>
      </c>
      <c r="H28" s="220" t="s">
        <v>179</v>
      </c>
    </row>
    <row r="29" spans="2:8" ht="57" customHeight="1" x14ac:dyDescent="0.2">
      <c r="B29" s="120" t="s">
        <v>269</v>
      </c>
      <c r="C29" s="94" t="s">
        <v>188</v>
      </c>
      <c r="D29" s="218"/>
      <c r="E29" s="16" t="s">
        <v>99</v>
      </c>
      <c r="F29" s="16" t="s">
        <v>75</v>
      </c>
      <c r="G29" s="184" t="s">
        <v>305</v>
      </c>
      <c r="H29" s="216"/>
    </row>
    <row r="30" spans="2:8" ht="38.25" thickBot="1" x14ac:dyDescent="0.25">
      <c r="B30" s="123" t="s">
        <v>270</v>
      </c>
      <c r="C30" s="138" t="s">
        <v>189</v>
      </c>
      <c r="D30" s="219"/>
      <c r="E30" s="124" t="s">
        <v>88</v>
      </c>
      <c r="F30" s="124" t="s">
        <v>75</v>
      </c>
      <c r="G30" s="182" t="s">
        <v>305</v>
      </c>
      <c r="H30" s="217"/>
    </row>
    <row r="31" spans="2:8" ht="19.5" thickBot="1" x14ac:dyDescent="0.25">
      <c r="B31" s="126" t="s">
        <v>34</v>
      </c>
      <c r="C31" s="227" t="s">
        <v>192</v>
      </c>
      <c r="D31" s="227"/>
      <c r="E31" s="227"/>
      <c r="F31" s="227"/>
      <c r="G31" s="228"/>
      <c r="H31" s="229"/>
    </row>
    <row r="32" spans="2:8" ht="19.5" thickBot="1" x14ac:dyDescent="0.25">
      <c r="B32" s="126" t="s">
        <v>271</v>
      </c>
      <c r="C32" s="227" t="s">
        <v>193</v>
      </c>
      <c r="D32" s="227"/>
      <c r="E32" s="227"/>
      <c r="F32" s="227"/>
      <c r="G32" s="228"/>
      <c r="H32" s="229"/>
    </row>
    <row r="33" spans="2:8" ht="131.25" customHeight="1" x14ac:dyDescent="0.2">
      <c r="B33" s="119" t="s">
        <v>176</v>
      </c>
      <c r="C33" s="130" t="s">
        <v>194</v>
      </c>
      <c r="D33" s="130" t="s">
        <v>199</v>
      </c>
      <c r="E33" s="130" t="s">
        <v>204</v>
      </c>
      <c r="F33" s="130" t="s">
        <v>205</v>
      </c>
      <c r="G33" s="200" t="s">
        <v>306</v>
      </c>
      <c r="H33" s="215" t="s">
        <v>245</v>
      </c>
    </row>
    <row r="34" spans="2:8" ht="56.25" x14ac:dyDescent="0.2">
      <c r="B34" s="120" t="s">
        <v>177</v>
      </c>
      <c r="C34" s="16" t="s">
        <v>196</v>
      </c>
      <c r="D34" s="16" t="s">
        <v>200</v>
      </c>
      <c r="E34" s="16" t="s">
        <v>204</v>
      </c>
      <c r="F34" s="16" t="s">
        <v>205</v>
      </c>
      <c r="G34" s="199" t="s">
        <v>306</v>
      </c>
      <c r="H34" s="216"/>
    </row>
    <row r="35" spans="2:8" ht="56.25" x14ac:dyDescent="0.2">
      <c r="B35" s="120" t="s">
        <v>178</v>
      </c>
      <c r="C35" s="16" t="s">
        <v>195</v>
      </c>
      <c r="D35" s="16" t="s">
        <v>201</v>
      </c>
      <c r="E35" s="16" t="s">
        <v>204</v>
      </c>
      <c r="F35" s="16" t="s">
        <v>205</v>
      </c>
      <c r="G35" s="199" t="s">
        <v>306</v>
      </c>
      <c r="H35" s="216"/>
    </row>
    <row r="36" spans="2:8" ht="75" x14ac:dyDescent="0.2">
      <c r="B36" s="120" t="s">
        <v>180</v>
      </c>
      <c r="C36" s="16" t="s">
        <v>197</v>
      </c>
      <c r="D36" s="96" t="s">
        <v>244</v>
      </c>
      <c r="E36" s="16" t="s">
        <v>204</v>
      </c>
      <c r="F36" s="16" t="s">
        <v>205</v>
      </c>
      <c r="G36" s="199" t="s">
        <v>306</v>
      </c>
      <c r="H36" s="216"/>
    </row>
    <row r="37" spans="2:8" ht="57" thickBot="1" x14ac:dyDescent="0.25">
      <c r="B37" s="123" t="s">
        <v>234</v>
      </c>
      <c r="C37" s="124" t="s">
        <v>198</v>
      </c>
      <c r="D37" s="124" t="s">
        <v>202</v>
      </c>
      <c r="E37" s="124" t="s">
        <v>204</v>
      </c>
      <c r="F37" s="124" t="s">
        <v>205</v>
      </c>
      <c r="G37" s="202" t="s">
        <v>306</v>
      </c>
      <c r="H37" s="217"/>
    </row>
    <row r="38" spans="2:8" ht="63" customHeight="1" x14ac:dyDescent="0.2">
      <c r="B38" s="207" t="s">
        <v>272</v>
      </c>
      <c r="C38" s="230" t="s">
        <v>203</v>
      </c>
      <c r="D38" s="135" t="s">
        <v>236</v>
      </c>
      <c r="E38" s="194" t="s">
        <v>204</v>
      </c>
      <c r="F38" s="194" t="s">
        <v>75</v>
      </c>
      <c r="G38" s="200" t="s">
        <v>301</v>
      </c>
      <c r="H38" s="233"/>
    </row>
    <row r="39" spans="2:8" ht="56.25" x14ac:dyDescent="0.2">
      <c r="B39" s="213"/>
      <c r="C39" s="231"/>
      <c r="D39" s="94" t="s">
        <v>237</v>
      </c>
      <c r="E39" s="16" t="s">
        <v>204</v>
      </c>
      <c r="F39" s="16" t="s">
        <v>75</v>
      </c>
      <c r="G39" s="199" t="s">
        <v>301</v>
      </c>
      <c r="H39" s="216"/>
    </row>
    <row r="40" spans="2:8" ht="75.75" thickBot="1" x14ac:dyDescent="0.25">
      <c r="B40" s="208"/>
      <c r="C40" s="232"/>
      <c r="D40" s="139" t="s">
        <v>238</v>
      </c>
      <c r="E40" s="195" t="s">
        <v>204</v>
      </c>
      <c r="F40" s="195" t="s">
        <v>75</v>
      </c>
      <c r="G40" s="202" t="s">
        <v>301</v>
      </c>
      <c r="H40" s="217"/>
    </row>
    <row r="41" spans="2:8" ht="75" x14ac:dyDescent="0.2">
      <c r="B41" s="207" t="s">
        <v>273</v>
      </c>
      <c r="C41" s="221" t="s">
        <v>95</v>
      </c>
      <c r="D41" s="130" t="s">
        <v>115</v>
      </c>
      <c r="E41" s="200" t="s">
        <v>83</v>
      </c>
      <c r="F41" s="200" t="s">
        <v>75</v>
      </c>
      <c r="G41" s="200" t="s">
        <v>301</v>
      </c>
      <c r="H41" s="215" t="s">
        <v>246</v>
      </c>
    </row>
    <row r="42" spans="2:8" ht="93.75" x14ac:dyDescent="0.2">
      <c r="B42" s="213"/>
      <c r="C42" s="222"/>
      <c r="D42" s="16" t="s">
        <v>116</v>
      </c>
      <c r="E42" s="199" t="s">
        <v>83</v>
      </c>
      <c r="F42" s="199" t="s">
        <v>75</v>
      </c>
      <c r="G42" s="199" t="s">
        <v>301</v>
      </c>
      <c r="H42" s="216"/>
    </row>
    <row r="43" spans="2:8" ht="75" x14ac:dyDescent="0.2">
      <c r="B43" s="213"/>
      <c r="C43" s="222"/>
      <c r="D43" s="16" t="s">
        <v>117</v>
      </c>
      <c r="E43" s="199" t="s">
        <v>83</v>
      </c>
      <c r="F43" s="199" t="s">
        <v>75</v>
      </c>
      <c r="G43" s="199" t="s">
        <v>301</v>
      </c>
      <c r="H43" s="216"/>
    </row>
    <row r="44" spans="2:8" ht="75" x14ac:dyDescent="0.2">
      <c r="B44" s="213"/>
      <c r="C44" s="222"/>
      <c r="D44" s="16" t="s">
        <v>118</v>
      </c>
      <c r="E44" s="201" t="s">
        <v>83</v>
      </c>
      <c r="F44" s="201" t="s">
        <v>75</v>
      </c>
      <c r="G44" s="199" t="s">
        <v>301</v>
      </c>
      <c r="H44" s="216"/>
    </row>
    <row r="45" spans="2:8" ht="156" customHeight="1" x14ac:dyDescent="0.2">
      <c r="B45" s="213" t="s">
        <v>274</v>
      </c>
      <c r="C45" s="222" t="s">
        <v>96</v>
      </c>
      <c r="D45" s="16" t="s">
        <v>119</v>
      </c>
      <c r="E45" s="199" t="s">
        <v>326</v>
      </c>
      <c r="F45" s="199" t="s">
        <v>75</v>
      </c>
      <c r="G45" s="199" t="s">
        <v>301</v>
      </c>
      <c r="H45" s="216"/>
    </row>
    <row r="46" spans="2:8" ht="57" thickBot="1" x14ac:dyDescent="0.25">
      <c r="B46" s="208"/>
      <c r="C46" s="223"/>
      <c r="D46" s="124" t="s">
        <v>120</v>
      </c>
      <c r="E46" s="199" t="s">
        <v>326</v>
      </c>
      <c r="F46" s="199" t="s">
        <v>75</v>
      </c>
      <c r="G46" s="202" t="s">
        <v>301</v>
      </c>
      <c r="H46" s="217"/>
    </row>
    <row r="47" spans="2:8" ht="51" customHeight="1" x14ac:dyDescent="0.2">
      <c r="B47" s="207" t="s">
        <v>275</v>
      </c>
      <c r="C47" s="221" t="s">
        <v>97</v>
      </c>
      <c r="D47" s="130" t="s">
        <v>114</v>
      </c>
      <c r="E47" s="200" t="s">
        <v>204</v>
      </c>
      <c r="F47" s="200" t="s">
        <v>75</v>
      </c>
      <c r="G47" s="200" t="s">
        <v>301</v>
      </c>
      <c r="H47" s="215" t="s">
        <v>245</v>
      </c>
    </row>
    <row r="48" spans="2:8" ht="56.25" customHeight="1" x14ac:dyDescent="0.2">
      <c r="B48" s="213"/>
      <c r="C48" s="222"/>
      <c r="D48" s="16" t="s">
        <v>121</v>
      </c>
      <c r="E48" s="199" t="s">
        <v>204</v>
      </c>
      <c r="F48" s="199" t="s">
        <v>75</v>
      </c>
      <c r="G48" s="199" t="s">
        <v>301</v>
      </c>
      <c r="H48" s="216"/>
    </row>
    <row r="49" spans="2:8" ht="56.25" x14ac:dyDescent="0.2">
      <c r="B49" s="213"/>
      <c r="C49" s="222"/>
      <c r="D49" s="16" t="s">
        <v>122</v>
      </c>
      <c r="E49" s="199" t="s">
        <v>204</v>
      </c>
      <c r="F49" s="199" t="s">
        <v>75</v>
      </c>
      <c r="G49" s="199" t="s">
        <v>301</v>
      </c>
      <c r="H49" s="216"/>
    </row>
    <row r="50" spans="2:8" ht="57" thickBot="1" x14ac:dyDescent="0.25">
      <c r="B50" s="208"/>
      <c r="C50" s="223"/>
      <c r="D50" s="124" t="s">
        <v>123</v>
      </c>
      <c r="E50" s="202" t="s">
        <v>204</v>
      </c>
      <c r="F50" s="201" t="s">
        <v>75</v>
      </c>
      <c r="G50" s="202" t="s">
        <v>301</v>
      </c>
      <c r="H50" s="217"/>
    </row>
    <row r="51" spans="2:8" ht="57" thickBot="1" x14ac:dyDescent="0.25">
      <c r="B51" s="126" t="s">
        <v>276</v>
      </c>
      <c r="C51" s="127" t="s">
        <v>98</v>
      </c>
      <c r="D51" s="140" t="s">
        <v>124</v>
      </c>
      <c r="E51" s="140" t="s">
        <v>83</v>
      </c>
      <c r="F51" s="140" t="s">
        <v>75</v>
      </c>
      <c r="G51" s="186" t="s">
        <v>301</v>
      </c>
      <c r="H51" s="141"/>
    </row>
    <row r="52" spans="2:8" x14ac:dyDescent="0.2">
      <c r="B52" s="95"/>
    </row>
    <row r="53" spans="2:8" x14ac:dyDescent="0.2">
      <c r="B53" s="95"/>
    </row>
    <row r="54" spans="2:8" x14ac:dyDescent="0.2">
      <c r="B54" s="95"/>
    </row>
    <row r="55" spans="2:8" x14ac:dyDescent="0.2">
      <c r="B55" s="95"/>
    </row>
    <row r="56" spans="2:8" x14ac:dyDescent="0.2">
      <c r="B56" s="95"/>
    </row>
  </sheetData>
  <autoFilter ref="B3:H51" xr:uid="{495B7C21-5CDB-4DAC-89E9-2F697EDC2A77}"/>
  <mergeCells count="34">
    <mergeCell ref="C17:H17"/>
    <mergeCell ref="C26:H26"/>
    <mergeCell ref="C23:C25"/>
    <mergeCell ref="C20:C22"/>
    <mergeCell ref="H41:H46"/>
    <mergeCell ref="C31:H31"/>
    <mergeCell ref="C32:H32"/>
    <mergeCell ref="C38:C40"/>
    <mergeCell ref="H33:H37"/>
    <mergeCell ref="H38:H40"/>
    <mergeCell ref="B18:B19"/>
    <mergeCell ref="C18:C19"/>
    <mergeCell ref="H47:H50"/>
    <mergeCell ref="D28:D30"/>
    <mergeCell ref="H28:H30"/>
    <mergeCell ref="B23:B25"/>
    <mergeCell ref="B20:B22"/>
    <mergeCell ref="B47:B50"/>
    <mergeCell ref="C47:C50"/>
    <mergeCell ref="B45:B46"/>
    <mergeCell ref="C45:C46"/>
    <mergeCell ref="B41:B44"/>
    <mergeCell ref="C41:C44"/>
    <mergeCell ref="B38:B40"/>
    <mergeCell ref="B2:H2"/>
    <mergeCell ref="C4:H4"/>
    <mergeCell ref="B14:B15"/>
    <mergeCell ref="C14:C15"/>
    <mergeCell ref="B12:B13"/>
    <mergeCell ref="C12:C13"/>
    <mergeCell ref="B6:B8"/>
    <mergeCell ref="C6:C8"/>
    <mergeCell ref="B9:B11"/>
    <mergeCell ref="C9:C11"/>
  </mergeCells>
  <phoneticPr fontId="13" type="noConversion"/>
  <pageMargins left="0.7" right="0.7" top="0.75" bottom="0.75" header="0.3" footer="0.3"/>
  <pageSetup paperSize="9" scale="54" fitToHeight="0" orientation="landscape" horizontalDpi="300" verticalDpi="300" r:id="rId1"/>
  <headerFooter differentFirst="1">
    <oddHeader>&amp;C&amp;P</oddHeader>
  </headerFooter>
  <rowBreaks count="4" manualBreakCount="4">
    <brk id="11" max="8" man="1"/>
    <brk id="16" max="8" man="1"/>
    <brk id="25" max="8" man="1"/>
    <brk id="40"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F62F9-2769-4F64-B928-B37B73ABCA2D}">
  <sheetPr>
    <pageSetUpPr fitToPage="1"/>
  </sheetPr>
  <dimension ref="B2:R48"/>
  <sheetViews>
    <sheetView zoomScale="70" zoomScaleNormal="70" zoomScaleSheetLayoutView="70" zoomScalePageLayoutView="55" workbookViewId="0">
      <selection activeCell="L3" sqref="L3"/>
    </sheetView>
  </sheetViews>
  <sheetFormatPr defaultRowHeight="14.25" x14ac:dyDescent="0.2"/>
  <cols>
    <col min="3" max="3" width="80.875" customWidth="1"/>
    <col min="4" max="4" width="49.625" customWidth="1"/>
    <col min="5" max="5" width="17.5" customWidth="1"/>
    <col min="6" max="6" width="16.125" customWidth="1"/>
    <col min="7" max="7" width="20.875" customWidth="1"/>
    <col min="8" max="8" width="18.375" style="93" customWidth="1"/>
    <col min="9" max="9" width="21.625" style="108" customWidth="1"/>
    <col min="10" max="10" width="11.875" style="110" customWidth="1"/>
    <col min="11" max="11" width="10.625" customWidth="1"/>
    <col min="12" max="12" width="18.75" customWidth="1"/>
    <col min="13" max="13" width="29.25" customWidth="1"/>
    <col min="16" max="16" width="16.625" bestFit="1" customWidth="1"/>
    <col min="18" max="18" width="12.375" bestFit="1" customWidth="1"/>
  </cols>
  <sheetData>
    <row r="2" spans="2:18" ht="42.75" customHeight="1" thickBot="1" x14ac:dyDescent="0.25">
      <c r="B2" s="234" t="s">
        <v>297</v>
      </c>
      <c r="C2" s="234"/>
      <c r="D2" s="234"/>
      <c r="E2" s="234"/>
      <c r="F2" s="234"/>
      <c r="G2" s="234"/>
      <c r="H2" s="234"/>
      <c r="I2" s="234"/>
      <c r="J2" s="234"/>
      <c r="K2" s="234"/>
      <c r="L2" s="234"/>
      <c r="M2" s="234"/>
    </row>
    <row r="3" spans="2:18" ht="57" thickBot="1" x14ac:dyDescent="0.25">
      <c r="B3" s="167" t="s">
        <v>71</v>
      </c>
      <c r="C3" s="168" t="s">
        <v>168</v>
      </c>
      <c r="D3" s="168" t="s">
        <v>207</v>
      </c>
      <c r="E3" s="168" t="s">
        <v>282</v>
      </c>
      <c r="F3" s="168" t="s">
        <v>283</v>
      </c>
      <c r="G3" s="168" t="s">
        <v>208</v>
      </c>
      <c r="H3" s="172" t="s">
        <v>209</v>
      </c>
      <c r="I3" s="173" t="s">
        <v>279</v>
      </c>
      <c r="J3" s="172" t="s">
        <v>307</v>
      </c>
      <c r="K3" s="168" t="s">
        <v>210</v>
      </c>
      <c r="L3" s="187" t="s">
        <v>308</v>
      </c>
      <c r="M3" s="174" t="s">
        <v>73</v>
      </c>
      <c r="P3" s="117"/>
    </row>
    <row r="4" spans="2:18" ht="19.5" thickBot="1" x14ac:dyDescent="0.25">
      <c r="B4" s="167" t="s">
        <v>7</v>
      </c>
      <c r="C4" s="246" t="s">
        <v>239</v>
      </c>
      <c r="D4" s="246"/>
      <c r="E4" s="246"/>
      <c r="F4" s="246"/>
      <c r="G4" s="246"/>
      <c r="H4" s="246"/>
      <c r="I4" s="246"/>
      <c r="J4" s="246"/>
      <c r="K4" s="246"/>
      <c r="L4" s="247"/>
      <c r="M4" s="248"/>
    </row>
    <row r="5" spans="2:18" ht="37.5" customHeight="1" x14ac:dyDescent="0.2">
      <c r="B5" s="237" t="s">
        <v>250</v>
      </c>
      <c r="C5" s="169" t="s">
        <v>171</v>
      </c>
      <c r="D5" s="255" t="s">
        <v>263</v>
      </c>
      <c r="E5" s="262" t="s">
        <v>284</v>
      </c>
      <c r="F5" s="262" t="s">
        <v>75</v>
      </c>
      <c r="G5" s="257"/>
      <c r="H5" s="258" t="s">
        <v>9</v>
      </c>
      <c r="I5" s="260">
        <v>40000000</v>
      </c>
      <c r="J5" s="258" t="s">
        <v>16</v>
      </c>
      <c r="K5" s="258" t="s">
        <v>11</v>
      </c>
      <c r="L5" s="265" t="s">
        <v>310</v>
      </c>
      <c r="M5" s="170"/>
    </row>
    <row r="6" spans="2:18" ht="56.25" x14ac:dyDescent="0.2">
      <c r="B6" s="238"/>
      <c r="C6" s="112" t="s">
        <v>172</v>
      </c>
      <c r="D6" s="256"/>
      <c r="E6" s="263"/>
      <c r="F6" s="263"/>
      <c r="G6" s="240"/>
      <c r="H6" s="259"/>
      <c r="I6" s="261"/>
      <c r="J6" s="259"/>
      <c r="K6" s="259"/>
      <c r="L6" s="266"/>
      <c r="M6" s="143"/>
    </row>
    <row r="7" spans="2:18" ht="75" x14ac:dyDescent="0.2">
      <c r="B7" s="238"/>
      <c r="C7" s="112" t="s">
        <v>173</v>
      </c>
      <c r="D7" s="256"/>
      <c r="E7" s="263"/>
      <c r="F7" s="263"/>
      <c r="G7" s="240"/>
      <c r="H7" s="259"/>
      <c r="I7" s="261"/>
      <c r="J7" s="259"/>
      <c r="K7" s="259"/>
      <c r="L7" s="266"/>
      <c r="M7" s="143"/>
      <c r="P7" s="117"/>
    </row>
    <row r="8" spans="2:18" ht="37.5" x14ac:dyDescent="0.2">
      <c r="B8" s="238"/>
      <c r="C8" s="112" t="s">
        <v>174</v>
      </c>
      <c r="D8" s="256"/>
      <c r="E8" s="263"/>
      <c r="F8" s="263"/>
      <c r="G8" s="240"/>
      <c r="H8" s="259"/>
      <c r="I8" s="261"/>
      <c r="J8" s="259"/>
      <c r="K8" s="259"/>
      <c r="L8" s="266"/>
      <c r="M8" s="143"/>
    </row>
    <row r="9" spans="2:18" ht="86.25" customHeight="1" thickBot="1" x14ac:dyDescent="0.25">
      <c r="B9" s="238"/>
      <c r="C9" s="111" t="s">
        <v>175</v>
      </c>
      <c r="D9" s="256"/>
      <c r="E9" s="264"/>
      <c r="F9" s="264"/>
      <c r="G9" s="240"/>
      <c r="H9" s="259"/>
      <c r="I9" s="261"/>
      <c r="J9" s="259"/>
      <c r="K9" s="259"/>
      <c r="L9" s="267"/>
      <c r="M9" s="143"/>
    </row>
    <row r="10" spans="2:18" ht="19.5" thickBot="1" x14ac:dyDescent="0.25">
      <c r="B10" s="167" t="s">
        <v>20</v>
      </c>
      <c r="C10" s="246" t="s">
        <v>240</v>
      </c>
      <c r="D10" s="246"/>
      <c r="E10" s="246"/>
      <c r="F10" s="246"/>
      <c r="G10" s="246"/>
      <c r="H10" s="246"/>
      <c r="I10" s="246"/>
      <c r="J10" s="246"/>
      <c r="K10" s="246"/>
      <c r="L10" s="247"/>
      <c r="M10" s="248"/>
    </row>
    <row r="11" spans="2:18" ht="18.75" x14ac:dyDescent="0.2">
      <c r="B11" s="237" t="s">
        <v>252</v>
      </c>
      <c r="C11" s="242" t="s">
        <v>89</v>
      </c>
      <c r="D11" s="242"/>
      <c r="E11" s="242"/>
      <c r="F11" s="242"/>
      <c r="G11" s="242"/>
      <c r="H11" s="242"/>
      <c r="I11" s="242"/>
      <c r="J11" s="242"/>
      <c r="K11" s="242"/>
      <c r="L11" s="243"/>
      <c r="M11" s="244"/>
    </row>
    <row r="12" spans="2:18" ht="69" customHeight="1" x14ac:dyDescent="0.2">
      <c r="B12" s="238"/>
      <c r="C12" s="252" t="s">
        <v>241</v>
      </c>
      <c r="D12" s="9" t="s">
        <v>41</v>
      </c>
      <c r="E12" s="9" t="s">
        <v>286</v>
      </c>
      <c r="F12" s="9" t="s">
        <v>285</v>
      </c>
      <c r="G12" s="9" t="s">
        <v>211</v>
      </c>
      <c r="H12" s="10" t="s">
        <v>212</v>
      </c>
      <c r="I12" s="4">
        <v>150000000</v>
      </c>
      <c r="J12" s="10" t="s">
        <v>31</v>
      </c>
      <c r="K12" s="2" t="s">
        <v>11</v>
      </c>
      <c r="L12" s="188" t="s">
        <v>311</v>
      </c>
      <c r="M12" s="143"/>
      <c r="N12" s="105"/>
    </row>
    <row r="13" spans="2:18" ht="277.5" customHeight="1" x14ac:dyDescent="0.2">
      <c r="B13" s="238"/>
      <c r="C13" s="253"/>
      <c r="D13" s="9" t="s">
        <v>213</v>
      </c>
      <c r="E13" s="179" t="s">
        <v>284</v>
      </c>
      <c r="F13" s="9" t="s">
        <v>285</v>
      </c>
      <c r="G13" s="116" t="s">
        <v>217</v>
      </c>
      <c r="H13" s="10" t="s">
        <v>214</v>
      </c>
      <c r="I13" s="4">
        <v>1573000000</v>
      </c>
      <c r="J13" s="10" t="s">
        <v>215</v>
      </c>
      <c r="K13" s="2" t="s">
        <v>11</v>
      </c>
      <c r="L13" s="188" t="s">
        <v>312</v>
      </c>
      <c r="M13" s="143"/>
      <c r="N13" s="105"/>
    </row>
    <row r="14" spans="2:18" ht="95.1" customHeight="1" x14ac:dyDescent="0.2">
      <c r="B14" s="238"/>
      <c r="C14" s="253"/>
      <c r="D14" s="7" t="s">
        <v>218</v>
      </c>
      <c r="E14" s="179" t="s">
        <v>284</v>
      </c>
      <c r="F14" s="9" t="s">
        <v>285</v>
      </c>
      <c r="G14" s="7" t="s">
        <v>235</v>
      </c>
      <c r="H14" s="10" t="s">
        <v>216</v>
      </c>
      <c r="I14" s="4">
        <f>500000000+139198717</f>
        <v>639198717</v>
      </c>
      <c r="J14" s="10" t="s">
        <v>44</v>
      </c>
      <c r="K14" s="2" t="s">
        <v>11</v>
      </c>
      <c r="L14" s="188" t="s">
        <v>312</v>
      </c>
      <c r="M14" s="142"/>
      <c r="N14" s="105"/>
    </row>
    <row r="15" spans="2:18" ht="95.1" customHeight="1" x14ac:dyDescent="0.2">
      <c r="B15" s="238"/>
      <c r="C15" s="253"/>
      <c r="D15" s="9" t="s">
        <v>219</v>
      </c>
      <c r="E15" s="9"/>
      <c r="F15" s="9"/>
      <c r="G15" s="7"/>
      <c r="H15" s="10"/>
      <c r="I15" s="4"/>
      <c r="J15" s="10"/>
      <c r="K15" s="2"/>
      <c r="L15" s="188"/>
      <c r="M15" s="142"/>
      <c r="N15" s="105"/>
    </row>
    <row r="16" spans="2:18" ht="86.25" customHeight="1" x14ac:dyDescent="0.2">
      <c r="B16" s="238"/>
      <c r="C16" s="253"/>
      <c r="D16" s="19" t="s">
        <v>46</v>
      </c>
      <c r="E16" s="19" t="s">
        <v>288</v>
      </c>
      <c r="F16" s="5" t="s">
        <v>285</v>
      </c>
      <c r="G16" s="19"/>
      <c r="H16" s="18" t="s">
        <v>47</v>
      </c>
      <c r="I16" s="23">
        <v>40000000</v>
      </c>
      <c r="J16" s="18" t="s">
        <v>31</v>
      </c>
      <c r="K16" s="26" t="s">
        <v>143</v>
      </c>
      <c r="L16" s="189" t="s">
        <v>319</v>
      </c>
      <c r="M16" s="144"/>
      <c r="N16" s="105"/>
      <c r="R16" s="115"/>
    </row>
    <row r="17" spans="2:17" ht="75.75" customHeight="1" x14ac:dyDescent="0.2">
      <c r="B17" s="238"/>
      <c r="C17" s="253"/>
      <c r="D17" s="19" t="s">
        <v>141</v>
      </c>
      <c r="E17" s="19" t="s">
        <v>286</v>
      </c>
      <c r="F17" s="5" t="s">
        <v>285</v>
      </c>
      <c r="G17" s="20"/>
      <c r="H17" s="18" t="s">
        <v>280</v>
      </c>
      <c r="I17" s="23">
        <v>100000000</v>
      </c>
      <c r="J17" s="18" t="s">
        <v>30</v>
      </c>
      <c r="K17" s="26" t="s">
        <v>143</v>
      </c>
      <c r="L17" s="189" t="s">
        <v>313</v>
      </c>
      <c r="M17" s="145"/>
      <c r="N17" s="105"/>
      <c r="O17" s="106"/>
      <c r="P17" s="48"/>
      <c r="Q17" s="99"/>
    </row>
    <row r="18" spans="2:17" ht="83.25" customHeight="1" x14ac:dyDescent="0.2">
      <c r="B18" s="238"/>
      <c r="C18" s="253"/>
      <c r="D18" s="5" t="s">
        <v>247</v>
      </c>
      <c r="E18" s="104" t="s">
        <v>87</v>
      </c>
      <c r="F18" s="5" t="s">
        <v>285</v>
      </c>
      <c r="G18" s="6"/>
      <c r="H18" s="2" t="s">
        <v>248</v>
      </c>
      <c r="I18" s="3">
        <v>280000000</v>
      </c>
      <c r="J18" s="18" t="s">
        <v>31</v>
      </c>
      <c r="K18" s="2" t="s">
        <v>249</v>
      </c>
      <c r="L18" s="188" t="s">
        <v>316</v>
      </c>
      <c r="M18" s="145"/>
      <c r="N18" s="105"/>
      <c r="O18" s="106"/>
      <c r="P18" s="48"/>
      <c r="Q18" s="99"/>
    </row>
    <row r="19" spans="2:17" ht="51.95" customHeight="1" x14ac:dyDescent="0.2">
      <c r="B19" s="238"/>
      <c r="C19" s="253"/>
      <c r="D19" s="113" t="s">
        <v>166</v>
      </c>
      <c r="E19" s="113" t="s">
        <v>99</v>
      </c>
      <c r="F19" s="113"/>
      <c r="G19" s="9" t="s">
        <v>36</v>
      </c>
      <c r="H19" s="10" t="s">
        <v>42</v>
      </c>
      <c r="I19" s="3">
        <v>50000000</v>
      </c>
      <c r="J19" s="10" t="s">
        <v>44</v>
      </c>
      <c r="K19" s="2" t="s">
        <v>143</v>
      </c>
      <c r="L19" s="193" t="s">
        <v>312</v>
      </c>
      <c r="M19" s="145"/>
      <c r="N19" s="105"/>
      <c r="O19" s="106"/>
      <c r="P19" s="48"/>
      <c r="Q19" s="99"/>
    </row>
    <row r="20" spans="2:17" ht="289.5" customHeight="1" thickBot="1" x14ac:dyDescent="0.25">
      <c r="B20" s="239"/>
      <c r="C20" s="254"/>
      <c r="D20" s="163" t="s">
        <v>158</v>
      </c>
      <c r="E20" s="163" t="s">
        <v>287</v>
      </c>
      <c r="F20" s="5" t="s">
        <v>285</v>
      </c>
      <c r="G20" s="163"/>
      <c r="H20" s="164"/>
      <c r="I20" s="157">
        <v>56000000</v>
      </c>
      <c r="J20" s="154" t="s">
        <v>18</v>
      </c>
      <c r="K20" s="154" t="s">
        <v>249</v>
      </c>
      <c r="L20" s="190" t="s">
        <v>314</v>
      </c>
      <c r="M20" s="166"/>
      <c r="N20" s="105"/>
      <c r="O20" s="106"/>
      <c r="P20" s="48"/>
      <c r="Q20" s="99"/>
    </row>
    <row r="21" spans="2:17" ht="18.75" x14ac:dyDescent="0.2">
      <c r="B21" s="237" t="s">
        <v>253</v>
      </c>
      <c r="C21" s="242" t="s">
        <v>90</v>
      </c>
      <c r="D21" s="242"/>
      <c r="E21" s="242"/>
      <c r="F21" s="242"/>
      <c r="G21" s="242"/>
      <c r="H21" s="242"/>
      <c r="I21" s="242"/>
      <c r="J21" s="242"/>
      <c r="K21" s="242"/>
      <c r="L21" s="243"/>
      <c r="M21" s="244"/>
    </row>
    <row r="22" spans="2:17" ht="82.5" x14ac:dyDescent="0.2">
      <c r="B22" s="238"/>
      <c r="C22" s="240" t="s">
        <v>242</v>
      </c>
      <c r="D22" s="101" t="s">
        <v>181</v>
      </c>
      <c r="E22" s="180" t="s">
        <v>284</v>
      </c>
      <c r="F22" s="5" t="s">
        <v>285</v>
      </c>
      <c r="G22" s="101"/>
      <c r="H22" s="102" t="s">
        <v>9</v>
      </c>
      <c r="I22" s="107">
        <v>200000000</v>
      </c>
      <c r="J22" s="102" t="s">
        <v>258</v>
      </c>
      <c r="K22" s="2" t="s">
        <v>11</v>
      </c>
      <c r="L22" s="188" t="s">
        <v>310</v>
      </c>
      <c r="M22" s="146"/>
      <c r="N22" s="105"/>
    </row>
    <row r="23" spans="2:17" ht="33" x14ac:dyDescent="0.2">
      <c r="B23" s="238"/>
      <c r="C23" s="240"/>
      <c r="D23" s="9" t="s">
        <v>220</v>
      </c>
      <c r="E23" s="9" t="s">
        <v>289</v>
      </c>
      <c r="F23" s="9"/>
      <c r="G23" s="100"/>
      <c r="H23" s="10" t="s">
        <v>221</v>
      </c>
      <c r="I23" s="4">
        <v>50000000</v>
      </c>
      <c r="J23" s="10">
        <v>2026</v>
      </c>
      <c r="K23" s="2" t="s">
        <v>11</v>
      </c>
      <c r="L23" s="188" t="s">
        <v>315</v>
      </c>
      <c r="M23" s="142"/>
      <c r="N23" s="105"/>
    </row>
    <row r="24" spans="2:17" ht="49.5" x14ac:dyDescent="0.2">
      <c r="B24" s="238"/>
      <c r="C24" s="240"/>
      <c r="D24" s="9" t="s">
        <v>39</v>
      </c>
      <c r="E24" s="9" t="s">
        <v>286</v>
      </c>
      <c r="F24" s="9"/>
      <c r="G24" s="7"/>
      <c r="H24" s="10" t="s">
        <v>212</v>
      </c>
      <c r="I24" s="4">
        <v>250000000</v>
      </c>
      <c r="J24" s="10" t="s">
        <v>31</v>
      </c>
      <c r="K24" s="2" t="s">
        <v>11</v>
      </c>
      <c r="L24" s="188" t="s">
        <v>309</v>
      </c>
      <c r="M24" s="142"/>
      <c r="N24" s="105"/>
    </row>
    <row r="25" spans="2:17" ht="66" x14ac:dyDescent="0.2">
      <c r="B25" s="238"/>
      <c r="C25" s="240"/>
      <c r="D25" s="19" t="s">
        <v>145</v>
      </c>
      <c r="E25" s="19" t="s">
        <v>88</v>
      </c>
      <c r="F25" s="19" t="s">
        <v>290</v>
      </c>
      <c r="G25" s="25"/>
      <c r="H25" s="22"/>
      <c r="I25" s="23">
        <v>5000000</v>
      </c>
      <c r="J25" s="18" t="s">
        <v>18</v>
      </c>
      <c r="K25" s="26" t="s">
        <v>143</v>
      </c>
      <c r="L25" s="189" t="s">
        <v>317</v>
      </c>
      <c r="M25" s="142"/>
      <c r="N25" s="105"/>
    </row>
    <row r="26" spans="2:17" ht="66" x14ac:dyDescent="0.2">
      <c r="B26" s="238"/>
      <c r="C26" s="240"/>
      <c r="D26" s="19" t="s">
        <v>148</v>
      </c>
      <c r="E26" s="19" t="s">
        <v>88</v>
      </c>
      <c r="F26" s="19" t="s">
        <v>291</v>
      </c>
      <c r="G26" s="25"/>
      <c r="H26" s="22" t="s">
        <v>149</v>
      </c>
      <c r="I26" s="23">
        <v>5000000</v>
      </c>
      <c r="J26" s="18" t="s">
        <v>18</v>
      </c>
      <c r="K26" s="26" t="s">
        <v>143</v>
      </c>
      <c r="L26" s="189" t="s">
        <v>317</v>
      </c>
      <c r="M26" s="144"/>
      <c r="N26" s="105"/>
    </row>
    <row r="27" spans="2:17" ht="66" x14ac:dyDescent="0.2">
      <c r="B27" s="238"/>
      <c r="C27" s="240"/>
      <c r="D27" s="19" t="s">
        <v>150</v>
      </c>
      <c r="E27" s="19" t="s">
        <v>88</v>
      </c>
      <c r="F27" s="19" t="s">
        <v>292</v>
      </c>
      <c r="G27" s="19"/>
      <c r="H27" s="118" t="s">
        <v>142</v>
      </c>
      <c r="I27" s="39">
        <v>10000000</v>
      </c>
      <c r="J27" s="109" t="s">
        <v>31</v>
      </c>
      <c r="K27" s="26" t="s">
        <v>143</v>
      </c>
      <c r="L27" s="193" t="s">
        <v>318</v>
      </c>
      <c r="M27" s="144"/>
      <c r="N27" s="105"/>
    </row>
    <row r="28" spans="2:17" ht="66.75" thickBot="1" x14ac:dyDescent="0.25">
      <c r="B28" s="239"/>
      <c r="C28" s="241"/>
      <c r="D28" s="163" t="s">
        <v>165</v>
      </c>
      <c r="E28" s="19" t="s">
        <v>88</v>
      </c>
      <c r="F28" s="19" t="s">
        <v>293</v>
      </c>
      <c r="G28" s="163" t="s">
        <v>37</v>
      </c>
      <c r="H28" s="164" t="s">
        <v>9</v>
      </c>
      <c r="I28" s="157">
        <v>100000000</v>
      </c>
      <c r="J28" s="154" t="s">
        <v>19</v>
      </c>
      <c r="K28" s="154" t="s">
        <v>143</v>
      </c>
      <c r="L28" s="190" t="s">
        <v>318</v>
      </c>
      <c r="M28" s="165"/>
      <c r="N28" s="105"/>
    </row>
    <row r="29" spans="2:17" ht="18.75" x14ac:dyDescent="0.2">
      <c r="B29" s="237" t="s">
        <v>254</v>
      </c>
      <c r="C29" s="242" t="s">
        <v>92</v>
      </c>
      <c r="D29" s="242"/>
      <c r="E29" s="242"/>
      <c r="F29" s="242"/>
      <c r="G29" s="242"/>
      <c r="H29" s="242"/>
      <c r="I29" s="242"/>
      <c r="J29" s="242"/>
      <c r="K29" s="242"/>
      <c r="L29" s="243"/>
      <c r="M29" s="244"/>
    </row>
    <row r="30" spans="2:17" ht="49.5" x14ac:dyDescent="0.2">
      <c r="B30" s="238"/>
      <c r="C30" s="249" t="s">
        <v>222</v>
      </c>
      <c r="D30" s="100" t="s">
        <v>223</v>
      </c>
      <c r="E30" s="100" t="s">
        <v>21</v>
      </c>
      <c r="F30" s="5" t="s">
        <v>285</v>
      </c>
      <c r="G30" s="100"/>
      <c r="H30" s="10" t="s">
        <v>21</v>
      </c>
      <c r="I30" s="4">
        <v>4700000</v>
      </c>
      <c r="J30" s="10" t="s">
        <v>18</v>
      </c>
      <c r="K30" s="2" t="s">
        <v>11</v>
      </c>
      <c r="L30" s="188" t="s">
        <v>309</v>
      </c>
      <c r="M30" s="147"/>
      <c r="N30" s="105"/>
    </row>
    <row r="31" spans="2:17" ht="49.5" x14ac:dyDescent="0.2">
      <c r="B31" s="238"/>
      <c r="C31" s="250"/>
      <c r="D31" s="9" t="s">
        <v>22</v>
      </c>
      <c r="E31" s="100" t="s">
        <v>21</v>
      </c>
      <c r="F31" s="5" t="s">
        <v>285</v>
      </c>
      <c r="G31" s="9"/>
      <c r="H31" s="10" t="s">
        <v>21</v>
      </c>
      <c r="I31" s="4">
        <v>35000000</v>
      </c>
      <c r="J31" s="10" t="s">
        <v>18</v>
      </c>
      <c r="K31" s="2" t="s">
        <v>11</v>
      </c>
      <c r="L31" s="188" t="s">
        <v>309</v>
      </c>
      <c r="M31" s="144"/>
      <c r="N31" s="105"/>
    </row>
    <row r="32" spans="2:17" ht="47.25" x14ac:dyDescent="0.2">
      <c r="B32" s="238"/>
      <c r="C32" s="250"/>
      <c r="D32" s="100" t="s">
        <v>25</v>
      </c>
      <c r="E32" s="100" t="s">
        <v>21</v>
      </c>
      <c r="F32" s="5" t="s">
        <v>285</v>
      </c>
      <c r="G32" s="103" t="s">
        <v>224</v>
      </c>
      <c r="H32" s="10" t="s">
        <v>21</v>
      </c>
      <c r="I32" s="4">
        <v>5000000</v>
      </c>
      <c r="J32" s="10">
        <v>2026</v>
      </c>
      <c r="K32" s="2" t="s">
        <v>11</v>
      </c>
      <c r="L32" s="188" t="s">
        <v>315</v>
      </c>
      <c r="M32" s="144"/>
      <c r="N32" s="105"/>
    </row>
    <row r="33" spans="2:16" ht="18.75" x14ac:dyDescent="0.2">
      <c r="B33" s="238"/>
      <c r="C33" s="250"/>
      <c r="D33" s="9" t="s">
        <v>219</v>
      </c>
      <c r="E33" s="100"/>
      <c r="F33" s="9"/>
      <c r="G33" s="9"/>
      <c r="H33" s="10"/>
      <c r="I33" s="4"/>
      <c r="J33" s="10"/>
      <c r="K33" s="2"/>
      <c r="L33" s="188"/>
      <c r="M33" s="144"/>
      <c r="N33" s="105"/>
    </row>
    <row r="34" spans="2:16" ht="50.25" thickBot="1" x14ac:dyDescent="0.25">
      <c r="B34" s="239"/>
      <c r="C34" s="251"/>
      <c r="D34" s="159" t="s">
        <v>45</v>
      </c>
      <c r="E34" s="100" t="s">
        <v>21</v>
      </c>
      <c r="F34" s="5" t="s">
        <v>285</v>
      </c>
      <c r="G34" s="159"/>
      <c r="H34" s="160" t="s">
        <v>21</v>
      </c>
      <c r="I34" s="161">
        <v>20000000</v>
      </c>
      <c r="J34" s="160" t="s">
        <v>31</v>
      </c>
      <c r="K34" s="162" t="s">
        <v>143</v>
      </c>
      <c r="L34" s="191" t="s">
        <v>319</v>
      </c>
      <c r="M34" s="158"/>
      <c r="N34" s="105"/>
    </row>
    <row r="35" spans="2:16" ht="18.75" x14ac:dyDescent="0.2">
      <c r="B35" s="237" t="s">
        <v>255</v>
      </c>
      <c r="C35" s="242" t="s">
        <v>29</v>
      </c>
      <c r="D35" s="242"/>
      <c r="E35" s="242"/>
      <c r="F35" s="242"/>
      <c r="G35" s="242"/>
      <c r="H35" s="242"/>
      <c r="I35" s="242"/>
      <c r="J35" s="242"/>
      <c r="K35" s="242"/>
      <c r="L35" s="243"/>
      <c r="M35" s="244"/>
    </row>
    <row r="36" spans="2:16" ht="82.5" x14ac:dyDescent="0.2">
      <c r="B36" s="238"/>
      <c r="C36" s="240" t="s">
        <v>225</v>
      </c>
      <c r="D36" s="9" t="s">
        <v>226</v>
      </c>
      <c r="E36" s="9" t="s">
        <v>17</v>
      </c>
      <c r="F36" s="5" t="s">
        <v>285</v>
      </c>
      <c r="G36" s="9"/>
      <c r="H36" s="10" t="s">
        <v>227</v>
      </c>
      <c r="I36" s="4">
        <v>160000000</v>
      </c>
      <c r="J36" s="10" t="s">
        <v>30</v>
      </c>
      <c r="K36" s="2" t="s">
        <v>11</v>
      </c>
      <c r="L36" s="188" t="s">
        <v>309</v>
      </c>
      <c r="M36" s="142"/>
      <c r="N36" s="105"/>
    </row>
    <row r="37" spans="2:16" ht="49.5" x14ac:dyDescent="0.2">
      <c r="B37" s="238"/>
      <c r="C37" s="240"/>
      <c r="D37" s="9" t="s">
        <v>259</v>
      </c>
      <c r="E37" s="9" t="s">
        <v>17</v>
      </c>
      <c r="F37" s="5" t="s">
        <v>285</v>
      </c>
      <c r="G37" s="7"/>
      <c r="H37" s="10"/>
      <c r="I37" s="4">
        <v>100000000</v>
      </c>
      <c r="J37" s="10" t="s">
        <v>31</v>
      </c>
      <c r="K37" s="2" t="s">
        <v>11</v>
      </c>
      <c r="L37" s="188" t="s">
        <v>309</v>
      </c>
      <c r="M37" s="142"/>
      <c r="N37" s="105"/>
    </row>
    <row r="38" spans="2:16" ht="33" x14ac:dyDescent="0.2">
      <c r="B38" s="238"/>
      <c r="C38" s="240"/>
      <c r="D38" s="9" t="s">
        <v>32</v>
      </c>
      <c r="E38" s="9" t="s">
        <v>17</v>
      </c>
      <c r="F38" s="5" t="s">
        <v>285</v>
      </c>
      <c r="G38" s="9"/>
      <c r="H38" s="10" t="s">
        <v>17</v>
      </c>
      <c r="I38" s="4">
        <v>5000000</v>
      </c>
      <c r="J38" s="10">
        <v>2026</v>
      </c>
      <c r="K38" s="2" t="s">
        <v>11</v>
      </c>
      <c r="L38" s="188" t="s">
        <v>315</v>
      </c>
      <c r="M38" s="148"/>
      <c r="N38" s="105"/>
    </row>
    <row r="39" spans="2:16" ht="49.5" x14ac:dyDescent="0.2">
      <c r="B39" s="238"/>
      <c r="C39" s="240"/>
      <c r="D39" s="9" t="s">
        <v>260</v>
      </c>
      <c r="E39" s="9" t="s">
        <v>17</v>
      </c>
      <c r="F39" s="5" t="s">
        <v>285</v>
      </c>
      <c r="G39" s="9"/>
      <c r="H39" s="10" t="s">
        <v>17</v>
      </c>
      <c r="I39" s="4">
        <v>20000000</v>
      </c>
      <c r="J39" s="10" t="s">
        <v>18</v>
      </c>
      <c r="K39" s="2" t="s">
        <v>11</v>
      </c>
      <c r="L39" s="188" t="s">
        <v>309</v>
      </c>
      <c r="M39" s="144"/>
      <c r="N39" s="105"/>
    </row>
    <row r="40" spans="2:16" ht="18.75" x14ac:dyDescent="0.2">
      <c r="B40" s="238"/>
      <c r="C40" s="240"/>
      <c r="D40" s="19" t="s">
        <v>156</v>
      </c>
      <c r="E40" s="19"/>
      <c r="F40" s="19"/>
      <c r="G40" s="19"/>
      <c r="H40" s="18"/>
      <c r="I40" s="23"/>
      <c r="J40" s="18"/>
      <c r="K40" s="26"/>
      <c r="L40" s="189"/>
      <c r="M40" s="142"/>
      <c r="N40" s="105"/>
    </row>
    <row r="41" spans="2:16" ht="50.25" thickBot="1" x14ac:dyDescent="0.25">
      <c r="B41" s="239"/>
      <c r="C41" s="241"/>
      <c r="D41" s="159" t="s">
        <v>157</v>
      </c>
      <c r="E41" s="9" t="s">
        <v>17</v>
      </c>
      <c r="F41" s="5" t="s">
        <v>285</v>
      </c>
      <c r="G41" s="159"/>
      <c r="H41" s="160" t="s">
        <v>87</v>
      </c>
      <c r="I41" s="161">
        <v>30000000</v>
      </c>
      <c r="J41" s="160" t="s">
        <v>31</v>
      </c>
      <c r="K41" s="162" t="s">
        <v>143</v>
      </c>
      <c r="L41" s="191" t="s">
        <v>319</v>
      </c>
      <c r="M41" s="158"/>
      <c r="N41" s="105"/>
    </row>
    <row r="42" spans="2:16" ht="18.75" x14ac:dyDescent="0.2">
      <c r="B42" s="237" t="s">
        <v>256</v>
      </c>
      <c r="C42" s="242" t="s">
        <v>93</v>
      </c>
      <c r="D42" s="242"/>
      <c r="E42" s="242"/>
      <c r="F42" s="242"/>
      <c r="G42" s="242"/>
      <c r="H42" s="242"/>
      <c r="I42" s="242"/>
      <c r="J42" s="242"/>
      <c r="K42" s="242"/>
      <c r="L42" s="243"/>
      <c r="M42" s="244"/>
    </row>
    <row r="43" spans="2:16" ht="168" customHeight="1" x14ac:dyDescent="0.2">
      <c r="B43" s="238"/>
      <c r="C43" s="240" t="s">
        <v>228</v>
      </c>
      <c r="D43" s="19" t="s">
        <v>261</v>
      </c>
      <c r="E43" s="19" t="s">
        <v>294</v>
      </c>
      <c r="F43" s="5" t="s">
        <v>295</v>
      </c>
      <c r="G43" s="116" t="s">
        <v>229</v>
      </c>
      <c r="H43" s="10" t="s">
        <v>230</v>
      </c>
      <c r="I43" s="4">
        <v>10000000</v>
      </c>
      <c r="J43" s="114">
        <v>2026</v>
      </c>
      <c r="K43" s="2" t="s">
        <v>11</v>
      </c>
      <c r="L43" s="188" t="s">
        <v>315</v>
      </c>
      <c r="M43" s="144"/>
      <c r="N43" s="105"/>
    </row>
    <row r="44" spans="2:16" ht="83.25" thickBot="1" x14ac:dyDescent="0.25">
      <c r="B44" s="238"/>
      <c r="C44" s="245"/>
      <c r="D44" s="19" t="s">
        <v>43</v>
      </c>
      <c r="E44" s="19" t="s">
        <v>294</v>
      </c>
      <c r="F44" s="5" t="s">
        <v>295</v>
      </c>
      <c r="G44" s="9" t="s">
        <v>231</v>
      </c>
      <c r="H44" s="10" t="s">
        <v>232</v>
      </c>
      <c r="I44" s="4">
        <v>18000000</v>
      </c>
      <c r="J44" s="10">
        <v>2026</v>
      </c>
      <c r="K44" s="2" t="s">
        <v>11</v>
      </c>
      <c r="L44" s="188" t="s">
        <v>315</v>
      </c>
      <c r="M44" s="144"/>
      <c r="N44" s="105"/>
    </row>
    <row r="45" spans="2:16" ht="30" customHeight="1" x14ac:dyDescent="0.2">
      <c r="B45" s="237" t="s">
        <v>257</v>
      </c>
      <c r="C45" s="242" t="s">
        <v>185</v>
      </c>
      <c r="D45" s="242"/>
      <c r="E45" s="242"/>
      <c r="F45" s="242"/>
      <c r="G45" s="242"/>
      <c r="H45" s="242"/>
      <c r="I45" s="242"/>
      <c r="J45" s="242"/>
      <c r="K45" s="242"/>
      <c r="L45" s="243"/>
      <c r="M45" s="244"/>
    </row>
    <row r="46" spans="2:16" ht="118.5" customHeight="1" x14ac:dyDescent="0.2">
      <c r="B46" s="238"/>
      <c r="C46" s="240" t="s">
        <v>243</v>
      </c>
      <c r="D46" s="104" t="s">
        <v>15</v>
      </c>
      <c r="E46" s="100" t="s">
        <v>21</v>
      </c>
      <c r="F46" s="104" t="s">
        <v>296</v>
      </c>
      <c r="G46" s="104"/>
      <c r="H46" s="2" t="s">
        <v>9</v>
      </c>
      <c r="I46" s="5">
        <v>180000000</v>
      </c>
      <c r="J46" s="2" t="s">
        <v>10</v>
      </c>
      <c r="K46" s="2" t="s">
        <v>11</v>
      </c>
      <c r="L46" s="188" t="s">
        <v>310</v>
      </c>
      <c r="M46" s="147"/>
      <c r="N46" s="105"/>
    </row>
    <row r="47" spans="2:16" ht="149.25" customHeight="1" thickBot="1" x14ac:dyDescent="0.25">
      <c r="B47" s="239"/>
      <c r="C47" s="241"/>
      <c r="D47" s="153" t="s">
        <v>262</v>
      </c>
      <c r="E47" s="100" t="s">
        <v>21</v>
      </c>
      <c r="F47" s="104" t="s">
        <v>296</v>
      </c>
      <c r="G47" s="153"/>
      <c r="H47" s="154" t="s">
        <v>9</v>
      </c>
      <c r="I47" s="155">
        <v>100000000</v>
      </c>
      <c r="J47" s="154" t="s">
        <v>14</v>
      </c>
      <c r="K47" s="154" t="s">
        <v>11</v>
      </c>
      <c r="L47" s="190" t="s">
        <v>310</v>
      </c>
      <c r="M47" s="156"/>
      <c r="N47" s="105"/>
    </row>
    <row r="48" spans="2:16" ht="19.5" thickBot="1" x14ac:dyDescent="0.25">
      <c r="B48" s="235" t="s">
        <v>48</v>
      </c>
      <c r="C48" s="236"/>
      <c r="D48" s="236"/>
      <c r="E48" s="236"/>
      <c r="F48" s="236"/>
      <c r="G48" s="236"/>
      <c r="H48" s="236"/>
      <c r="I48" s="149">
        <f>SUM($I$3:$I$47)</f>
        <v>4235898717</v>
      </c>
      <c r="J48" s="150"/>
      <c r="K48" s="151"/>
      <c r="L48" s="192"/>
      <c r="M48" s="152"/>
      <c r="P48" s="115"/>
    </row>
  </sheetData>
  <autoFilter ref="B3:M48" xr:uid="{C27F62F9-2769-4F64-B928-B37B73ABCA2D}"/>
  <mergeCells count="32">
    <mergeCell ref="C4:M4"/>
    <mergeCell ref="B5:B9"/>
    <mergeCell ref="D5:D9"/>
    <mergeCell ref="G5:G9"/>
    <mergeCell ref="H5:H9"/>
    <mergeCell ref="K5:K9"/>
    <mergeCell ref="J5:J9"/>
    <mergeCell ref="I5:I9"/>
    <mergeCell ref="E5:E9"/>
    <mergeCell ref="F5:F9"/>
    <mergeCell ref="L5:L9"/>
    <mergeCell ref="B29:B34"/>
    <mergeCell ref="C10:M10"/>
    <mergeCell ref="C11:M11"/>
    <mergeCell ref="C30:C34"/>
    <mergeCell ref="C12:C20"/>
    <mergeCell ref="B2:M2"/>
    <mergeCell ref="B48:H48"/>
    <mergeCell ref="B35:B41"/>
    <mergeCell ref="B42:B44"/>
    <mergeCell ref="C22:C28"/>
    <mergeCell ref="C35:M35"/>
    <mergeCell ref="C36:C41"/>
    <mergeCell ref="C42:M42"/>
    <mergeCell ref="C43:C44"/>
    <mergeCell ref="C29:M29"/>
    <mergeCell ref="C21:M21"/>
    <mergeCell ref="B45:B47"/>
    <mergeCell ref="C46:C47"/>
    <mergeCell ref="C45:M45"/>
    <mergeCell ref="B11:B20"/>
    <mergeCell ref="B21:B28"/>
  </mergeCells>
  <pageMargins left="0.7" right="0.7" top="0.75" bottom="0.75" header="0.3" footer="0.3"/>
  <pageSetup paperSize="9" scale="40" fitToHeight="0" orientation="landscape" horizontalDpi="300" verticalDpi="300" r:id="rId1"/>
  <headerFooter differentFirst="1">
    <oddHeader>&amp;C&amp;P</oddHeader>
  </headerFooter>
  <rowBreaks count="3" manualBreakCount="3">
    <brk id="9" min="1" max="10" man="1"/>
    <brk id="20" min="1" max="10" man="1"/>
    <brk id="41" min="1" max="10" man="1"/>
  </rowBreaks>
  <colBreaks count="1" manualBreakCount="1">
    <brk id="13"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62E7D-55F7-4857-8F97-F93E51179D17}">
  <dimension ref="A1:Z18"/>
  <sheetViews>
    <sheetView zoomScale="70" zoomScaleNormal="70" workbookViewId="0">
      <selection activeCell="D3" sqref="D3"/>
    </sheetView>
  </sheetViews>
  <sheetFormatPr defaultRowHeight="14.25" x14ac:dyDescent="0.2"/>
  <cols>
    <col min="1" max="1" width="6.25" customWidth="1"/>
    <col min="2" max="2" width="31.75" customWidth="1"/>
    <col min="3" max="3" width="29.25" customWidth="1"/>
    <col min="4" max="4" width="19.25" customWidth="1"/>
    <col min="5" max="6" width="0" hidden="1" customWidth="1"/>
    <col min="7" max="7" width="20.875" customWidth="1"/>
    <col min="8" max="10" width="0" hidden="1" customWidth="1"/>
    <col min="11" max="11" width="22.125" customWidth="1"/>
    <col min="12" max="12" width="18.375" customWidth="1"/>
    <col min="13" max="13" width="0" hidden="1" customWidth="1"/>
    <col min="14" max="14" width="19.75" customWidth="1"/>
    <col min="15" max="15" width="19.25" customWidth="1"/>
    <col min="16" max="17" width="18.25" customWidth="1"/>
    <col min="18" max="18" width="18.125" customWidth="1"/>
    <col min="19" max="19" width="17.375" customWidth="1"/>
    <col min="20" max="20" width="14.875" customWidth="1"/>
    <col min="21" max="21" width="20.125" customWidth="1"/>
    <col min="22" max="22" width="15.875" customWidth="1"/>
    <col min="23" max="23" width="31.375" customWidth="1"/>
    <col min="24" max="26" width="0" hidden="1" customWidth="1"/>
  </cols>
  <sheetData>
    <row r="1" spans="1:26" ht="16.5" customHeight="1" x14ac:dyDescent="0.2">
      <c r="A1" s="270" t="s">
        <v>0</v>
      </c>
      <c r="B1" s="270" t="s">
        <v>1</v>
      </c>
      <c r="C1" s="268" t="s">
        <v>2</v>
      </c>
      <c r="D1" s="270" t="s">
        <v>3</v>
      </c>
      <c r="E1" s="270" t="s">
        <v>126</v>
      </c>
      <c r="F1" s="270" t="s">
        <v>127</v>
      </c>
      <c r="G1" s="270" t="s">
        <v>128</v>
      </c>
      <c r="H1" s="275" t="s">
        <v>129</v>
      </c>
      <c r="I1" s="270" t="s">
        <v>130</v>
      </c>
      <c r="J1" s="270" t="s">
        <v>4</v>
      </c>
      <c r="K1" s="268" t="s">
        <v>5</v>
      </c>
      <c r="L1" s="270" t="s">
        <v>6</v>
      </c>
      <c r="M1" s="270" t="s">
        <v>131</v>
      </c>
      <c r="N1" s="270" t="s">
        <v>132</v>
      </c>
      <c r="O1" s="274" t="s">
        <v>133</v>
      </c>
      <c r="P1" s="274"/>
      <c r="Q1" s="274"/>
      <c r="R1" s="274"/>
      <c r="S1" s="274"/>
      <c r="T1" s="268" t="s">
        <v>134</v>
      </c>
      <c r="U1" s="270" t="s">
        <v>135</v>
      </c>
      <c r="V1" s="268" t="s">
        <v>136</v>
      </c>
      <c r="W1" s="270" t="s">
        <v>137</v>
      </c>
      <c r="X1" s="271" t="s">
        <v>138</v>
      </c>
      <c r="Y1" s="272" t="s">
        <v>139</v>
      </c>
      <c r="Z1" s="273" t="s">
        <v>140</v>
      </c>
    </row>
    <row r="2" spans="1:26" ht="16.5" x14ac:dyDescent="0.2">
      <c r="A2" s="270"/>
      <c r="B2" s="270"/>
      <c r="C2" s="269"/>
      <c r="D2" s="270"/>
      <c r="E2" s="270"/>
      <c r="F2" s="270"/>
      <c r="G2" s="270"/>
      <c r="H2" s="275"/>
      <c r="I2" s="270"/>
      <c r="J2" s="270"/>
      <c r="K2" s="269"/>
      <c r="L2" s="270"/>
      <c r="M2" s="270"/>
      <c r="N2" s="270"/>
      <c r="O2" s="17">
        <v>2026</v>
      </c>
      <c r="P2" s="17">
        <v>2027</v>
      </c>
      <c r="Q2" s="17">
        <v>2028</v>
      </c>
      <c r="R2" s="17">
        <v>2029</v>
      </c>
      <c r="S2" s="17">
        <v>2030</v>
      </c>
      <c r="T2" s="269"/>
      <c r="U2" s="270"/>
      <c r="V2" s="269"/>
      <c r="W2" s="270"/>
      <c r="X2" s="271"/>
      <c r="Y2" s="273"/>
      <c r="Z2" s="273"/>
    </row>
    <row r="3" spans="1:26" ht="33" x14ac:dyDescent="0.2">
      <c r="A3" s="18">
        <v>1</v>
      </c>
      <c r="B3" s="19" t="s">
        <v>141</v>
      </c>
      <c r="C3" s="20"/>
      <c r="D3" s="21" t="s">
        <v>142</v>
      </c>
      <c r="E3" s="22"/>
      <c r="F3" s="22"/>
      <c r="G3" s="23">
        <v>100000000</v>
      </c>
      <c r="H3" s="24"/>
      <c r="I3" s="25"/>
      <c r="J3" s="25"/>
      <c r="K3" s="22" t="s">
        <v>30</v>
      </c>
      <c r="L3" s="26" t="s">
        <v>143</v>
      </c>
      <c r="M3" s="25"/>
      <c r="N3" s="25"/>
      <c r="O3" s="23">
        <v>30000000</v>
      </c>
      <c r="P3" s="23">
        <v>60000000</v>
      </c>
      <c r="Q3" s="23">
        <v>10000000</v>
      </c>
      <c r="R3" s="25"/>
      <c r="S3" s="25"/>
      <c r="T3" s="25"/>
      <c r="U3" s="27">
        <f>SUM(O3:S3)</f>
        <v>100000000</v>
      </c>
      <c r="V3" s="25" t="s">
        <v>144</v>
      </c>
      <c r="W3" s="25"/>
      <c r="X3" s="28"/>
      <c r="Y3" s="28"/>
      <c r="Z3" s="28"/>
    </row>
    <row r="4" spans="1:26" ht="33" x14ac:dyDescent="0.2">
      <c r="A4" s="29">
        <v>2</v>
      </c>
      <c r="B4" s="30" t="s">
        <v>145</v>
      </c>
      <c r="C4" s="31"/>
      <c r="D4" s="31"/>
      <c r="E4" s="29"/>
      <c r="F4" s="29"/>
      <c r="G4" s="32">
        <v>5000000</v>
      </c>
      <c r="H4" s="33"/>
      <c r="I4" s="31"/>
      <c r="J4" s="31"/>
      <c r="K4" s="29" t="s">
        <v>18</v>
      </c>
      <c r="L4" s="34" t="s">
        <v>143</v>
      </c>
      <c r="M4" s="31"/>
      <c r="N4" s="31"/>
      <c r="O4" s="35">
        <v>1500000</v>
      </c>
      <c r="P4" s="35">
        <v>3500000</v>
      </c>
      <c r="Q4" s="31"/>
      <c r="R4" s="31"/>
      <c r="S4" s="31"/>
      <c r="T4" s="31"/>
      <c r="U4" s="35">
        <f t="shared" ref="U4:U13" si="0">SUM(O4:S4)</f>
        <v>5000000</v>
      </c>
      <c r="V4" s="31" t="s">
        <v>146</v>
      </c>
      <c r="W4" s="36" t="s">
        <v>147</v>
      </c>
      <c r="X4" s="15"/>
      <c r="Y4" s="15"/>
      <c r="Z4" s="15"/>
    </row>
    <row r="5" spans="1:26" ht="33" x14ac:dyDescent="0.2">
      <c r="A5" s="29">
        <v>3</v>
      </c>
      <c r="B5" s="30" t="s">
        <v>148</v>
      </c>
      <c r="C5" s="31"/>
      <c r="D5" s="31" t="s">
        <v>149</v>
      </c>
      <c r="E5" s="29"/>
      <c r="F5" s="29"/>
      <c r="G5" s="32">
        <v>5000000</v>
      </c>
      <c r="H5" s="33"/>
      <c r="I5" s="31"/>
      <c r="J5" s="31"/>
      <c r="K5" s="29" t="s">
        <v>18</v>
      </c>
      <c r="L5" s="34" t="s">
        <v>143</v>
      </c>
      <c r="M5" s="31"/>
      <c r="N5" s="31"/>
      <c r="O5" s="32">
        <v>1500000</v>
      </c>
      <c r="P5" s="32">
        <v>3500000</v>
      </c>
      <c r="Q5" s="31"/>
      <c r="R5" s="31"/>
      <c r="S5" s="31"/>
      <c r="T5" s="31"/>
      <c r="U5" s="35">
        <f t="shared" si="0"/>
        <v>5000000</v>
      </c>
      <c r="V5" s="31" t="s">
        <v>146</v>
      </c>
      <c r="W5" s="36" t="s">
        <v>147</v>
      </c>
      <c r="X5" s="15"/>
      <c r="Y5" s="15"/>
      <c r="Z5" s="15"/>
    </row>
    <row r="6" spans="1:26" ht="33" x14ac:dyDescent="0.2">
      <c r="A6" s="18">
        <v>4</v>
      </c>
      <c r="B6" s="37" t="s">
        <v>150</v>
      </c>
      <c r="C6" s="37"/>
      <c r="D6" s="37" t="s">
        <v>151</v>
      </c>
      <c r="E6" s="38"/>
      <c r="F6" s="38" t="s">
        <v>8</v>
      </c>
      <c r="G6" s="39">
        <v>10000000</v>
      </c>
      <c r="H6" s="24"/>
      <c r="I6" s="25"/>
      <c r="J6" s="25"/>
      <c r="K6" s="40" t="s">
        <v>31</v>
      </c>
      <c r="L6" s="41" t="s">
        <v>143</v>
      </c>
      <c r="M6" s="42"/>
      <c r="N6" s="42"/>
      <c r="O6" s="43">
        <v>100000</v>
      </c>
      <c r="P6" s="43">
        <v>2000000</v>
      </c>
      <c r="Q6" s="43">
        <v>5500000</v>
      </c>
      <c r="R6" s="43">
        <v>1400000</v>
      </c>
      <c r="S6" s="43">
        <v>1000000</v>
      </c>
      <c r="T6" s="43"/>
      <c r="U6" s="44">
        <f t="shared" si="0"/>
        <v>10000000</v>
      </c>
      <c r="V6" s="42" t="s">
        <v>152</v>
      </c>
      <c r="W6" s="42"/>
    </row>
    <row r="7" spans="1:26" ht="66" x14ac:dyDescent="0.2">
      <c r="A7" s="38">
        <v>5</v>
      </c>
      <c r="B7" s="92" t="s">
        <v>153</v>
      </c>
      <c r="C7" s="19"/>
      <c r="D7" s="19" t="s">
        <v>154</v>
      </c>
      <c r="E7" s="45"/>
      <c r="F7" s="38" t="s">
        <v>12</v>
      </c>
      <c r="G7" s="23">
        <v>10000000</v>
      </c>
      <c r="H7" s="24"/>
      <c r="I7" s="25"/>
      <c r="J7" s="25"/>
      <c r="K7" s="22" t="s">
        <v>27</v>
      </c>
      <c r="L7" s="41" t="s">
        <v>143</v>
      </c>
      <c r="M7" s="42"/>
      <c r="N7" s="42"/>
      <c r="O7" s="42"/>
      <c r="P7" s="44">
        <v>3000000</v>
      </c>
      <c r="Q7" s="44">
        <v>7000000</v>
      </c>
      <c r="R7" s="42"/>
      <c r="S7" s="42"/>
      <c r="T7" s="42"/>
      <c r="U7" s="44">
        <f t="shared" si="0"/>
        <v>10000000</v>
      </c>
      <c r="V7" s="42" t="s">
        <v>144</v>
      </c>
      <c r="W7" s="46"/>
    </row>
    <row r="8" spans="1:26" ht="33" x14ac:dyDescent="0.2">
      <c r="A8" s="38">
        <v>6</v>
      </c>
      <c r="B8" s="92" t="s">
        <v>155</v>
      </c>
      <c r="C8" s="19"/>
      <c r="D8" s="21" t="s">
        <v>17</v>
      </c>
      <c r="E8" s="45"/>
      <c r="F8" s="38" t="s">
        <v>12</v>
      </c>
      <c r="G8" s="43">
        <v>10000000</v>
      </c>
      <c r="H8" s="47"/>
      <c r="I8" s="42"/>
      <c r="J8" s="42"/>
      <c r="K8" s="38" t="s">
        <v>33</v>
      </c>
      <c r="L8" s="41" t="s">
        <v>143</v>
      </c>
      <c r="M8" s="42"/>
      <c r="N8" s="42"/>
      <c r="O8" s="42"/>
      <c r="P8" s="42"/>
      <c r="Q8" s="44">
        <v>3000000</v>
      </c>
      <c r="R8" s="44">
        <v>6000000</v>
      </c>
      <c r="S8" s="44">
        <v>1000000</v>
      </c>
      <c r="T8" s="42"/>
      <c r="U8" s="44">
        <f t="shared" si="0"/>
        <v>10000000</v>
      </c>
      <c r="V8" s="42" t="s">
        <v>152</v>
      </c>
      <c r="W8" s="42"/>
    </row>
    <row r="9" spans="1:26" ht="33" x14ac:dyDescent="0.2">
      <c r="A9" s="18">
        <v>7</v>
      </c>
      <c r="B9" s="19" t="s">
        <v>156</v>
      </c>
      <c r="C9" s="19"/>
      <c r="D9" s="21"/>
      <c r="E9" s="48"/>
      <c r="F9" s="22" t="s">
        <v>8</v>
      </c>
      <c r="G9" s="23"/>
      <c r="H9" s="24"/>
      <c r="I9" s="25"/>
      <c r="J9" s="25"/>
      <c r="K9" s="22"/>
      <c r="L9" s="26"/>
      <c r="M9" s="25"/>
      <c r="N9" s="25"/>
      <c r="O9" s="25"/>
      <c r="P9" s="25"/>
      <c r="Q9" s="25"/>
      <c r="R9" s="25"/>
      <c r="S9" s="25"/>
      <c r="T9" s="25"/>
      <c r="U9" s="44">
        <f t="shared" si="0"/>
        <v>0</v>
      </c>
      <c r="V9" s="25"/>
      <c r="W9" s="25"/>
      <c r="X9" s="28"/>
      <c r="Y9" s="28"/>
      <c r="Z9" s="28"/>
    </row>
    <row r="10" spans="1:26" ht="16.5" x14ac:dyDescent="0.2">
      <c r="A10" s="18"/>
      <c r="B10" s="92" t="s">
        <v>157</v>
      </c>
      <c r="C10" s="19"/>
      <c r="D10" s="21" t="s">
        <v>87</v>
      </c>
      <c r="E10" s="48"/>
      <c r="F10" s="22" t="s">
        <v>12</v>
      </c>
      <c r="G10" s="23">
        <v>30000000</v>
      </c>
      <c r="H10" s="24"/>
      <c r="I10" s="25"/>
      <c r="J10" s="25"/>
      <c r="K10" s="22" t="s">
        <v>31</v>
      </c>
      <c r="L10" s="26" t="s">
        <v>143</v>
      </c>
      <c r="M10" s="25"/>
      <c r="N10" s="25"/>
      <c r="O10" s="23">
        <v>200000</v>
      </c>
      <c r="P10" s="23">
        <v>4000000</v>
      </c>
      <c r="Q10" s="23">
        <v>11000000</v>
      </c>
      <c r="R10" s="23">
        <v>2800000</v>
      </c>
      <c r="S10" s="23">
        <v>2000000</v>
      </c>
      <c r="T10" s="25"/>
      <c r="U10" s="44">
        <f t="shared" si="0"/>
        <v>20000000</v>
      </c>
      <c r="V10" s="25" t="s">
        <v>152</v>
      </c>
      <c r="W10" s="25"/>
      <c r="X10" s="28"/>
      <c r="Y10" s="28"/>
      <c r="Z10" s="28"/>
    </row>
    <row r="11" spans="1:26" ht="16.5" x14ac:dyDescent="0.2">
      <c r="A11" s="49"/>
      <c r="B11" s="30" t="s">
        <v>45</v>
      </c>
      <c r="C11" s="30"/>
      <c r="D11" s="50" t="s">
        <v>21</v>
      </c>
      <c r="E11" s="51"/>
      <c r="F11" s="49" t="s">
        <v>12</v>
      </c>
      <c r="G11" s="52">
        <v>20000000</v>
      </c>
      <c r="H11" s="53"/>
      <c r="I11" s="54"/>
      <c r="J11" s="54"/>
      <c r="K11" s="49" t="s">
        <v>31</v>
      </c>
      <c r="L11" s="55" t="s">
        <v>143</v>
      </c>
      <c r="M11" s="54"/>
      <c r="N11" s="54"/>
      <c r="O11" s="52">
        <v>200000</v>
      </c>
      <c r="P11" s="52">
        <v>4000000</v>
      </c>
      <c r="Q11" s="52">
        <v>11000000</v>
      </c>
      <c r="R11" s="52">
        <v>2800000</v>
      </c>
      <c r="S11" s="52">
        <v>2000000</v>
      </c>
      <c r="T11" s="54"/>
      <c r="U11" s="35">
        <f t="shared" si="0"/>
        <v>20000000</v>
      </c>
      <c r="V11" s="54" t="s">
        <v>152</v>
      </c>
      <c r="W11" s="54"/>
      <c r="X11" s="28"/>
      <c r="Y11" s="28"/>
      <c r="Z11" s="28"/>
    </row>
    <row r="12" spans="1:26" ht="33" x14ac:dyDescent="0.2">
      <c r="A12" s="49"/>
      <c r="B12" s="56" t="s">
        <v>46</v>
      </c>
      <c r="C12" s="56"/>
      <c r="D12" s="57" t="s">
        <v>47</v>
      </c>
      <c r="E12" s="51"/>
      <c r="F12" s="58" t="s">
        <v>8</v>
      </c>
      <c r="G12" s="59">
        <v>40000000</v>
      </c>
      <c r="H12" s="60"/>
      <c r="I12" s="61"/>
      <c r="J12" s="61"/>
      <c r="K12" s="49" t="s">
        <v>31</v>
      </c>
      <c r="L12" s="55" t="s">
        <v>143</v>
      </c>
      <c r="M12" s="61"/>
      <c r="N12" s="61"/>
      <c r="O12" s="59">
        <v>400000</v>
      </c>
      <c r="P12" s="59">
        <v>8000000</v>
      </c>
      <c r="Q12" s="59">
        <v>22000000</v>
      </c>
      <c r="R12" s="59">
        <v>5600000</v>
      </c>
      <c r="S12" s="59">
        <v>4000000</v>
      </c>
      <c r="T12" s="61"/>
      <c r="U12" s="35">
        <f t="shared" si="0"/>
        <v>40000000</v>
      </c>
      <c r="V12" s="61" t="s">
        <v>152</v>
      </c>
      <c r="W12" s="61"/>
      <c r="X12" s="28"/>
      <c r="Y12" s="28"/>
      <c r="Z12" s="28"/>
    </row>
    <row r="13" spans="1:26" ht="49.5" x14ac:dyDescent="0.2">
      <c r="A13" s="1">
        <v>8</v>
      </c>
      <c r="B13" s="5" t="s">
        <v>158</v>
      </c>
      <c r="C13" s="5"/>
      <c r="D13" s="4"/>
      <c r="E13" s="1" t="s">
        <v>12</v>
      </c>
      <c r="F13" s="1" t="s">
        <v>12</v>
      </c>
      <c r="G13" s="4">
        <v>56000000</v>
      </c>
      <c r="H13" s="62"/>
      <c r="I13" s="5" t="s">
        <v>13</v>
      </c>
      <c r="J13" s="5"/>
      <c r="K13" s="2" t="s">
        <v>18</v>
      </c>
      <c r="L13" s="26" t="s">
        <v>143</v>
      </c>
      <c r="M13" s="4"/>
      <c r="N13" s="4"/>
      <c r="O13" s="4">
        <f>G13*0.3</f>
        <v>16800000</v>
      </c>
      <c r="P13" s="4">
        <f>G13-O13</f>
        <v>39200000</v>
      </c>
      <c r="Q13" s="4"/>
      <c r="R13" s="4"/>
      <c r="S13" s="4"/>
      <c r="T13" s="4"/>
      <c r="U13" s="44">
        <f t="shared" si="0"/>
        <v>56000000</v>
      </c>
      <c r="V13" s="4" t="s">
        <v>146</v>
      </c>
      <c r="W13" s="5" t="s">
        <v>159</v>
      </c>
      <c r="X13" s="28"/>
      <c r="Y13" s="28"/>
      <c r="Z13" s="28"/>
    </row>
    <row r="14" spans="1:26" ht="49.5" x14ac:dyDescent="0.2">
      <c r="A14" s="63">
        <v>9</v>
      </c>
      <c r="B14" s="9" t="s">
        <v>160</v>
      </c>
      <c r="C14" s="7" t="s">
        <v>40</v>
      </c>
      <c r="D14" s="10" t="s">
        <v>161</v>
      </c>
      <c r="E14" s="64"/>
      <c r="F14" s="8" t="s">
        <v>8</v>
      </c>
      <c r="G14" s="4">
        <v>200000000</v>
      </c>
      <c r="H14" s="65"/>
      <c r="I14" s="7"/>
      <c r="J14" s="7"/>
      <c r="K14" s="8" t="s">
        <v>31</v>
      </c>
      <c r="L14" s="2" t="s">
        <v>143</v>
      </c>
      <c r="M14" s="7"/>
      <c r="N14" s="7"/>
      <c r="O14" s="4">
        <f>G14*0.2</f>
        <v>40000000</v>
      </c>
      <c r="P14" s="4">
        <f>G14*0.9-O14</f>
        <v>140000000</v>
      </c>
      <c r="Q14" s="4">
        <f>G14-O14-P14</f>
        <v>20000000</v>
      </c>
      <c r="R14" s="4"/>
      <c r="S14" s="4"/>
      <c r="T14" s="7"/>
      <c r="U14" s="66">
        <f>SUM(O14:S14)</f>
        <v>200000000</v>
      </c>
      <c r="V14" s="7" t="s">
        <v>146</v>
      </c>
      <c r="W14" s="5"/>
      <c r="X14" s="67"/>
      <c r="Y14" s="67"/>
      <c r="Z14" s="67"/>
    </row>
    <row r="15" spans="1:26" ht="49.5" x14ac:dyDescent="0.2">
      <c r="A15" s="1">
        <v>10</v>
      </c>
      <c r="B15" s="6" t="s">
        <v>162</v>
      </c>
      <c r="C15" s="6"/>
      <c r="D15" s="2" t="s">
        <v>87</v>
      </c>
      <c r="E15" s="1" t="s">
        <v>8</v>
      </c>
      <c r="F15" s="1" t="s">
        <v>8</v>
      </c>
      <c r="G15" s="3">
        <v>280000000</v>
      </c>
      <c r="H15" s="68" t="s">
        <v>163</v>
      </c>
      <c r="I15" s="2" t="s">
        <v>164</v>
      </c>
      <c r="J15" s="2"/>
      <c r="K15" s="2" t="str">
        <f>I15</f>
        <v>QI/2026-QIV/2027</v>
      </c>
      <c r="L15" s="2" t="s">
        <v>143</v>
      </c>
      <c r="M15" s="69">
        <v>105000</v>
      </c>
      <c r="N15" s="69">
        <v>95000</v>
      </c>
      <c r="O15" s="4">
        <f>G15*0.2</f>
        <v>56000000</v>
      </c>
      <c r="P15" s="4">
        <f>G15*0.9-N15-O15</f>
        <v>195905000</v>
      </c>
      <c r="Q15" s="4">
        <f>G15-N15-O15-P15</f>
        <v>28000000</v>
      </c>
      <c r="R15" s="4"/>
      <c r="S15" s="4"/>
      <c r="T15" s="4"/>
      <c r="U15" s="66">
        <f>SUM(O15:S15)</f>
        <v>279905000</v>
      </c>
      <c r="V15" s="7" t="s">
        <v>146</v>
      </c>
      <c r="W15" s="5"/>
      <c r="X15" s="67"/>
      <c r="Y15" s="67"/>
      <c r="Z15" s="67"/>
    </row>
    <row r="16" spans="1:26" ht="33" x14ac:dyDescent="0.2">
      <c r="A16" s="70">
        <v>11</v>
      </c>
      <c r="B16" s="71" t="s">
        <v>165</v>
      </c>
      <c r="C16" s="71" t="s">
        <v>37</v>
      </c>
      <c r="D16" s="72" t="s">
        <v>9</v>
      </c>
      <c r="E16" s="73" t="s">
        <v>12</v>
      </c>
      <c r="F16" s="73" t="s">
        <v>12</v>
      </c>
      <c r="G16" s="72">
        <v>100000000</v>
      </c>
      <c r="H16" s="74"/>
      <c r="I16" s="71" t="s">
        <v>13</v>
      </c>
      <c r="J16" s="71"/>
      <c r="K16" s="75" t="s">
        <v>19</v>
      </c>
      <c r="L16" s="75" t="s">
        <v>143</v>
      </c>
      <c r="M16" s="72"/>
      <c r="N16" s="72"/>
      <c r="O16" s="72">
        <f>0.01*G16</f>
        <v>1000000</v>
      </c>
      <c r="P16" s="76">
        <f>G16*0.2</f>
        <v>20000000</v>
      </c>
      <c r="Q16" s="76">
        <f>G16*0.75-O16-P16</f>
        <v>54000000</v>
      </c>
      <c r="R16" s="76">
        <f>G16*0.9-O16-P16-Q16</f>
        <v>15000000</v>
      </c>
      <c r="S16" s="76">
        <f>G16-O16-P16-Q16-R16</f>
        <v>10000000</v>
      </c>
      <c r="T16" s="76"/>
      <c r="U16" s="77">
        <f>SUM(O16:S16)</f>
        <v>100000000</v>
      </c>
      <c r="V16" s="78" t="s">
        <v>152</v>
      </c>
      <c r="W16" s="79"/>
      <c r="X16" s="67"/>
      <c r="Y16" s="67"/>
      <c r="Z16" s="67"/>
    </row>
    <row r="17" spans="1:26" ht="33" x14ac:dyDescent="0.2">
      <c r="A17" s="1">
        <v>12</v>
      </c>
      <c r="B17" s="80" t="s">
        <v>166</v>
      </c>
      <c r="C17" s="81" t="s">
        <v>36</v>
      </c>
      <c r="D17" s="82" t="s">
        <v>42</v>
      </c>
      <c r="E17" s="83" t="s">
        <v>12</v>
      </c>
      <c r="F17" s="84">
        <v>150000000</v>
      </c>
      <c r="G17" s="3">
        <v>50000000</v>
      </c>
      <c r="H17" s="83" t="s">
        <v>24</v>
      </c>
      <c r="I17" s="85"/>
      <c r="J17" s="85"/>
      <c r="K17" s="63" t="s">
        <v>44</v>
      </c>
      <c r="L17" s="86" t="s">
        <v>143</v>
      </c>
      <c r="M17" s="87"/>
      <c r="N17" s="87"/>
      <c r="O17" s="87">
        <f>0.01*G17</f>
        <v>500000</v>
      </c>
      <c r="P17" s="4">
        <f>G17*0.2</f>
        <v>10000000</v>
      </c>
      <c r="Q17" s="4">
        <f>G17*0.75-O17-P17</f>
        <v>27000000</v>
      </c>
      <c r="R17" s="4">
        <f>G17*0.9-O17-P17-Q17</f>
        <v>7500000</v>
      </c>
      <c r="S17" s="4">
        <f>G17-O17-P17-Q17-R17</f>
        <v>5000000</v>
      </c>
      <c r="T17" s="4"/>
      <c r="U17" s="66">
        <f>SUM(O17:S17)</f>
        <v>50000000</v>
      </c>
      <c r="V17" s="7" t="s">
        <v>152</v>
      </c>
      <c r="W17" s="5"/>
      <c r="X17" s="67"/>
      <c r="Y17" s="67"/>
      <c r="Z17" s="67"/>
    </row>
    <row r="18" spans="1:26" ht="16.5" x14ac:dyDescent="0.25">
      <c r="A18" s="38"/>
      <c r="B18" s="88" t="s">
        <v>48</v>
      </c>
      <c r="C18" s="88"/>
      <c r="D18" s="88"/>
      <c r="E18" s="89"/>
      <c r="F18" s="89"/>
      <c r="G18" s="90">
        <f>SUM(G3:G17)</f>
        <v>916000000</v>
      </c>
      <c r="H18" s="90">
        <f t="shared" ref="H18:V18" si="1">SUM(H3:H13)</f>
        <v>0</v>
      </c>
      <c r="I18" s="90">
        <f t="shared" si="1"/>
        <v>0</v>
      </c>
      <c r="J18" s="90">
        <f t="shared" si="1"/>
        <v>0</v>
      </c>
      <c r="K18" s="90">
        <f t="shared" si="1"/>
        <v>0</v>
      </c>
      <c r="L18" s="90">
        <f t="shared" si="1"/>
        <v>0</v>
      </c>
      <c r="M18" s="90">
        <f t="shared" si="1"/>
        <v>0</v>
      </c>
      <c r="N18" s="90">
        <f t="shared" si="1"/>
        <v>0</v>
      </c>
      <c r="O18" s="90">
        <f t="shared" si="1"/>
        <v>50700000</v>
      </c>
      <c r="P18" s="90">
        <f t="shared" si="1"/>
        <v>127200000</v>
      </c>
      <c r="Q18" s="90">
        <f t="shared" si="1"/>
        <v>69500000</v>
      </c>
      <c r="R18" s="90">
        <f t="shared" si="1"/>
        <v>18600000</v>
      </c>
      <c r="S18" s="90">
        <f t="shared" si="1"/>
        <v>10000000</v>
      </c>
      <c r="T18" s="90">
        <f t="shared" si="1"/>
        <v>0</v>
      </c>
      <c r="U18" s="90">
        <f t="shared" si="1"/>
        <v>276000000</v>
      </c>
      <c r="V18" s="90">
        <f t="shared" si="1"/>
        <v>0</v>
      </c>
      <c r="W18" s="91"/>
    </row>
  </sheetData>
  <mergeCells count="22">
    <mergeCell ref="A1:A2"/>
    <mergeCell ref="H1:H2"/>
    <mergeCell ref="I1:I2"/>
    <mergeCell ref="B1:B2"/>
    <mergeCell ref="C1:C2"/>
    <mergeCell ref="D1:D2"/>
    <mergeCell ref="E1:E2"/>
    <mergeCell ref="F1:F2"/>
    <mergeCell ref="G1:G2"/>
    <mergeCell ref="T1:T2"/>
    <mergeCell ref="U1:U2"/>
    <mergeCell ref="J1:J2"/>
    <mergeCell ref="K1:K2"/>
    <mergeCell ref="L1:L2"/>
    <mergeCell ref="M1:M2"/>
    <mergeCell ref="N1:N2"/>
    <mergeCell ref="O1:S1"/>
    <mergeCell ref="V1:V2"/>
    <mergeCell ref="W1:W2"/>
    <mergeCell ref="X1:X2"/>
    <mergeCell ref="Y1:Y2"/>
    <mergeCell ref="Z1:Z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E72FA-0F1F-4B12-A048-D545EE7F72E5}">
  <dimension ref="A1:N9"/>
  <sheetViews>
    <sheetView workbookViewId="0">
      <selection activeCell="N3" sqref="N3"/>
    </sheetView>
  </sheetViews>
  <sheetFormatPr defaultRowHeight="14.25" x14ac:dyDescent="0.2"/>
  <cols>
    <col min="1" max="1" width="24.25" customWidth="1"/>
    <col min="2" max="2" width="13" customWidth="1"/>
  </cols>
  <sheetData>
    <row r="1" spans="1:14" ht="28.5" x14ac:dyDescent="0.2">
      <c r="A1" s="12" t="s">
        <v>57</v>
      </c>
      <c r="B1" s="12" t="s">
        <v>56</v>
      </c>
      <c r="C1" s="12" t="s">
        <v>58</v>
      </c>
      <c r="D1" s="12" t="s">
        <v>59</v>
      </c>
      <c r="E1" s="12" t="s">
        <v>60</v>
      </c>
      <c r="F1" s="12" t="s">
        <v>61</v>
      </c>
      <c r="G1" s="12" t="s">
        <v>63</v>
      </c>
      <c r="H1" s="12" t="s">
        <v>64</v>
      </c>
      <c r="I1" s="12" t="s">
        <v>67</v>
      </c>
      <c r="J1" s="12" t="s">
        <v>65</v>
      </c>
      <c r="N1" t="s">
        <v>125</v>
      </c>
    </row>
    <row r="2" spans="1:14" ht="30" x14ac:dyDescent="0.2">
      <c r="A2" s="11" t="s">
        <v>49</v>
      </c>
      <c r="B2" s="11" t="s">
        <v>62</v>
      </c>
      <c r="C2" s="11"/>
      <c r="D2" s="11" t="s">
        <v>68</v>
      </c>
      <c r="E2" s="11"/>
      <c r="F2" s="11"/>
      <c r="G2" s="13"/>
      <c r="H2" s="13"/>
      <c r="I2" s="13"/>
      <c r="J2" s="13"/>
      <c r="N2" t="s">
        <v>63</v>
      </c>
    </row>
    <row r="3" spans="1:14" ht="45" x14ac:dyDescent="0.2">
      <c r="A3" s="14" t="s">
        <v>50</v>
      </c>
      <c r="B3" s="11" t="s">
        <v>35</v>
      </c>
      <c r="C3" s="11"/>
      <c r="D3" s="11" t="s">
        <v>69</v>
      </c>
      <c r="E3" s="11"/>
      <c r="F3" s="11"/>
      <c r="G3" s="13"/>
      <c r="H3" s="13"/>
      <c r="I3" s="13"/>
      <c r="J3" s="13"/>
    </row>
    <row r="4" spans="1:14" ht="15" x14ac:dyDescent="0.2">
      <c r="A4" s="11" t="s">
        <v>26</v>
      </c>
      <c r="B4" s="11" t="s">
        <v>38</v>
      </c>
      <c r="C4" s="11"/>
      <c r="D4" s="11" t="s">
        <v>70</v>
      </c>
      <c r="E4" s="11"/>
      <c r="F4" s="11"/>
      <c r="G4" s="13"/>
      <c r="H4" s="13"/>
      <c r="I4" s="13"/>
      <c r="J4" s="13"/>
    </row>
    <row r="5" spans="1:14" ht="45" x14ac:dyDescent="0.2">
      <c r="A5" s="11" t="s">
        <v>51</v>
      </c>
      <c r="B5" s="11" t="s">
        <v>66</v>
      </c>
      <c r="C5" s="11"/>
      <c r="D5" s="11"/>
      <c r="E5" s="11"/>
      <c r="F5" s="11"/>
      <c r="G5" s="13"/>
      <c r="H5" s="13"/>
      <c r="I5" s="13"/>
      <c r="J5" s="13"/>
    </row>
    <row r="6" spans="1:14" ht="45" x14ac:dyDescent="0.2">
      <c r="A6" s="11" t="s">
        <v>52</v>
      </c>
      <c r="B6" s="11"/>
      <c r="C6" s="11"/>
      <c r="D6" s="11"/>
      <c r="E6" s="11"/>
      <c r="F6" s="11"/>
      <c r="G6" s="13"/>
      <c r="H6" s="13"/>
      <c r="I6" s="13"/>
      <c r="J6" s="13"/>
    </row>
    <row r="7" spans="1:14" ht="15" x14ac:dyDescent="0.2">
      <c r="A7" s="11" t="s">
        <v>53</v>
      </c>
      <c r="B7" s="11"/>
      <c r="C7" s="11"/>
      <c r="D7" s="11"/>
      <c r="E7" s="11"/>
      <c r="F7" s="11"/>
      <c r="G7" s="13"/>
      <c r="H7" s="13"/>
      <c r="I7" s="13"/>
      <c r="J7" s="13"/>
    </row>
    <row r="8" spans="1:14" ht="15" x14ac:dyDescent="0.2">
      <c r="A8" s="11" t="s">
        <v>54</v>
      </c>
      <c r="B8" s="11"/>
      <c r="C8" s="11"/>
      <c r="D8" s="11"/>
      <c r="E8" s="11"/>
      <c r="F8" s="11"/>
      <c r="G8" s="13"/>
      <c r="H8" s="13"/>
      <c r="I8" s="13"/>
      <c r="J8" s="13"/>
    </row>
    <row r="9" spans="1:14" ht="15" x14ac:dyDescent="0.2">
      <c r="A9" s="11" t="s">
        <v>55</v>
      </c>
      <c r="B9" s="11"/>
      <c r="C9" s="11"/>
      <c r="D9" s="11"/>
      <c r="E9" s="11"/>
      <c r="F9" s="11"/>
      <c r="G9" s="13"/>
      <c r="H9" s="13"/>
      <c r="I9" s="13"/>
      <c r="J9" s="1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Nhiệm vụ</vt:lpstr>
      <vt:lpstr>Dự án</vt:lpstr>
      <vt:lpstr>KHCN</vt:lpstr>
      <vt:lpstr>Sheet2</vt:lpstr>
      <vt:lpstr>'Nhiệm vụ'!_Hlk199493110</vt:lpstr>
      <vt:lpstr>AIM</vt:lpstr>
      <vt:lpstr>ANHK</vt:lpstr>
      <vt:lpstr>ATM</vt:lpstr>
      <vt:lpstr>ATTT</vt:lpstr>
      <vt:lpstr>CIL_MIL</vt:lpstr>
      <vt:lpstr>CNS</vt:lpstr>
      <vt:lpstr>Không</vt:lpstr>
      <vt:lpstr>MET</vt:lpstr>
      <vt:lpstr>Nhân_lực_số</vt:lpstr>
      <vt:lpstr>'Dự án'!Print_Area</vt:lpstr>
      <vt:lpstr>'Nhiệm vụ'!Print_Area</vt:lpstr>
      <vt:lpstr>Quản_trị</vt:lpstr>
      <vt:lpstr>SAR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Hoang Hieu</dc:creator>
  <cp:lastModifiedBy>Trinh Hoang Hieu</cp:lastModifiedBy>
  <cp:lastPrinted>2025-08-22T08:16:55Z</cp:lastPrinted>
  <dcterms:created xsi:type="dcterms:W3CDTF">2025-05-29T07:11:23Z</dcterms:created>
  <dcterms:modified xsi:type="dcterms:W3CDTF">2025-09-03T09:21:00Z</dcterms:modified>
</cp:coreProperties>
</file>